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8" codeName="{873B2839-AC87-7CC4-5C0F-16DCB9831742}"/>
  <workbookPr codeName="ThisWorkbook" defaultThemeVersion="166925"/>
  <mc:AlternateContent xmlns:mc="http://schemas.openxmlformats.org/markup-compatibility/2006">
    <mc:Choice Requires="x15">
      <x15ac:absPath xmlns:x15ac="http://schemas.microsoft.com/office/spreadsheetml/2010/11/ac" url="https://d.docs.live.net/3C3FB68A891E31E9/Attachments/"/>
    </mc:Choice>
  </mc:AlternateContent>
  <xr:revisionPtr revIDLastSave="1209" documentId="13_ncr:1_{5312E976-B7F9-4F91-8770-C99387B06BDC}" xr6:coauthVersionLast="47" xr6:coauthVersionMax="47" xr10:uidLastSave="{A5AD21DD-1F12-2649-BFE3-D88968D9C8C1}"/>
  <bookViews>
    <workbookView xWindow="0" yWindow="500" windowWidth="28800" windowHeight="15720" firstSheet="1" activeTab="1" xr2:uid="{8DE4FE00-A051-8B40-89F3-D992C53AB63B}"/>
  </bookViews>
  <sheets>
    <sheet name="漢検" sheetId="3" r:id="rId1"/>
    <sheet name="TOEIC" sheetId="4" r:id="rId2"/>
    <sheet name="TOEIC_R" sheetId="5" r:id="rId3"/>
    <sheet name="原紙" sheetId="1" r:id="rId4"/>
  </sheets>
  <functionGroups builtInGroupCount="19"/>
  <definedNames>
    <definedName name="_xleta.TO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33" i="4" l="1"/>
  <c r="J332" i="4"/>
  <c r="J331" i="4"/>
  <c r="J330" i="4"/>
  <c r="J329" i="4"/>
  <c r="J328" i="4"/>
  <c r="J327" i="4"/>
  <c r="J326" i="4"/>
  <c r="J325" i="4"/>
  <c r="J324" i="4"/>
  <c r="J323" i="4"/>
  <c r="J322" i="4"/>
  <c r="J321" i="4"/>
  <c r="J320" i="4"/>
  <c r="J319" i="4"/>
  <c r="J318" i="4"/>
  <c r="J317" i="4"/>
  <c r="J316" i="4"/>
  <c r="J315" i="4"/>
  <c r="J314" i="4"/>
  <c r="J302" i="4"/>
  <c r="J301" i="4"/>
  <c r="J300" i="4"/>
  <c r="J313" i="4"/>
  <c r="J299" i="4"/>
  <c r="J298" i="4"/>
  <c r="J312" i="4"/>
  <c r="J311" i="4"/>
  <c r="J310" i="4"/>
  <c r="J309" i="4"/>
  <c r="J297" i="4"/>
  <c r="J296" i="4"/>
  <c r="J295" i="4"/>
  <c r="J294" i="4"/>
  <c r="J293" i="4"/>
  <c r="J292" i="4"/>
  <c r="J291" i="4"/>
  <c r="J290" i="4"/>
  <c r="J308" i="4"/>
  <c r="J307" i="4"/>
  <c r="J289" i="4"/>
  <c r="J306" i="4"/>
  <c r="J288" i="4"/>
  <c r="J287" i="4"/>
  <c r="J286" i="4"/>
  <c r="J261" i="4"/>
  <c r="J285" i="4"/>
  <c r="J284" i="4"/>
  <c r="J282" i="4"/>
  <c r="J283" i="4"/>
  <c r="J257" i="4"/>
  <c r="J256" i="4"/>
  <c r="J255" i="4"/>
  <c r="J254" i="4"/>
  <c r="J281" i="4"/>
  <c r="J279" i="4"/>
  <c r="J280" i="4"/>
  <c r="J253" i="4"/>
  <c r="J252" i="4"/>
  <c r="J251" i="4"/>
  <c r="J305" i="4"/>
  <c r="J250" i="4"/>
  <c r="J275" i="4"/>
  <c r="J276" i="4"/>
  <c r="J249" i="4"/>
  <c r="J248" i="4"/>
  <c r="J274" i="4"/>
  <c r="J278" i="4"/>
  <c r="J273" i="4"/>
  <c r="J271" i="4"/>
  <c r="J272" i="4"/>
  <c r="J270" i="4"/>
  <c r="J304" i="4"/>
  <c r="J268" i="4"/>
  <c r="J267" i="4"/>
  <c r="J266" i="4"/>
  <c r="J269" i="4"/>
  <c r="J265" i="4"/>
  <c r="J247" i="4"/>
  <c r="G1" i="4"/>
  <c r="I318" i="4" s="1"/>
  <c r="J983" i="3"/>
  <c r="J982" i="3"/>
  <c r="J981" i="3"/>
  <c r="J980" i="3"/>
  <c r="J979" i="3"/>
  <c r="J978" i="3"/>
  <c r="J977" i="3"/>
  <c r="J976" i="3"/>
  <c r="J975" i="3"/>
  <c r="J974" i="3"/>
  <c r="J973" i="3"/>
  <c r="J972" i="3"/>
  <c r="J987" i="3"/>
  <c r="J971" i="3"/>
  <c r="J986" i="3"/>
  <c r="J970" i="3"/>
  <c r="J969" i="3"/>
  <c r="J968" i="3"/>
  <c r="J967" i="3"/>
  <c r="J966" i="3"/>
  <c r="J965" i="3"/>
  <c r="J964" i="3"/>
  <c r="J952" i="3"/>
  <c r="J963" i="3"/>
  <c r="J951" i="3"/>
  <c r="J950" i="3"/>
  <c r="J962" i="3"/>
  <c r="J949" i="3"/>
  <c r="G1" i="3"/>
  <c r="I142" i="3" s="1"/>
  <c r="J934" i="3"/>
  <c r="J933" i="3"/>
  <c r="J931" i="3"/>
  <c r="J932" i="3"/>
  <c r="J915" i="3"/>
  <c r="J908" i="3"/>
  <c r="J907" i="3"/>
  <c r="J904" i="3"/>
  <c r="J891" i="3"/>
  <c r="J930" i="3"/>
  <c r="J929" i="3"/>
  <c r="J928" i="3"/>
  <c r="J927" i="3"/>
  <c r="J926" i="3"/>
  <c r="J925" i="3"/>
  <c r="J924" i="3"/>
  <c r="J900" i="3"/>
  <c r="J923" i="3"/>
  <c r="J922" i="3"/>
  <c r="J921" i="3"/>
  <c r="J920" i="3"/>
  <c r="J919" i="3"/>
  <c r="J918" i="3"/>
  <c r="J917" i="3"/>
  <c r="J916" i="3"/>
  <c r="J955" i="3"/>
  <c r="J902" i="3"/>
  <c r="J901" i="3"/>
  <c r="J899" i="3"/>
  <c r="J914" i="3"/>
  <c r="J948" i="3"/>
  <c r="J913" i="3"/>
  <c r="J898" i="3"/>
  <c r="J897" i="3"/>
  <c r="J896" i="3"/>
  <c r="J895" i="3"/>
  <c r="J892" i="3"/>
  <c r="J912" i="3"/>
  <c r="J911" i="3"/>
  <c r="J910" i="3"/>
  <c r="J890" i="3"/>
  <c r="J889" i="3"/>
  <c r="J842" i="3"/>
  <c r="J841" i="3"/>
  <c r="J909" i="3"/>
  <c r="J840" i="3"/>
  <c r="J954" i="3"/>
  <c r="J894" i="3"/>
  <c r="J877" i="3"/>
  <c r="J246" i="4"/>
  <c r="J245" i="4"/>
  <c r="J244" i="4"/>
  <c r="J243" i="4"/>
  <c r="J242" i="4"/>
  <c r="J241" i="4"/>
  <c r="J240" i="4"/>
  <c r="J239" i="4"/>
  <c r="J238" i="4"/>
  <c r="J237" i="4"/>
  <c r="J236" i="4"/>
  <c r="J235" i="4"/>
  <c r="J216" i="4"/>
  <c r="J264" i="4"/>
  <c r="J190" i="4"/>
  <c r="J231" i="4"/>
  <c r="J204" i="4"/>
  <c r="J234" i="4"/>
  <c r="J230" i="4"/>
  <c r="J218" i="4"/>
  <c r="J906" i="3"/>
  <c r="J839" i="3"/>
  <c r="J905" i="3"/>
  <c r="J888" i="3"/>
  <c r="J885" i="3"/>
  <c r="J838" i="3"/>
  <c r="J837" i="3"/>
  <c r="J832" i="3"/>
  <c r="J836" i="3"/>
  <c r="J939" i="3"/>
  <c r="J887" i="3"/>
  <c r="J831" i="3"/>
  <c r="J829" i="3"/>
  <c r="J827" i="3"/>
  <c r="J886" i="3"/>
  <c r="J835" i="3"/>
  <c r="J826" i="3"/>
  <c r="J825" i="3"/>
  <c r="J876" i="3"/>
  <c r="J824" i="3"/>
  <c r="J823" i="3"/>
  <c r="J834" i="3"/>
  <c r="J822" i="3"/>
  <c r="J893" i="3"/>
  <c r="J903" i="3"/>
  <c r="J833" i="3"/>
  <c r="J884" i="3"/>
  <c r="J883" i="3"/>
  <c r="J830" i="3"/>
  <c r="J820" i="3"/>
  <c r="J828" i="3"/>
  <c r="J819" i="3"/>
  <c r="J818" i="3"/>
  <c r="J817" i="3"/>
  <c r="J816" i="3"/>
  <c r="J815" i="3"/>
  <c r="J882" i="3"/>
  <c r="J821" i="3"/>
  <c r="J814" i="3"/>
  <c r="J812" i="3"/>
  <c r="J811" i="3"/>
  <c r="J806" i="3"/>
  <c r="J805" i="3"/>
  <c r="J804" i="3"/>
  <c r="J799" i="3"/>
  <c r="J798" i="3"/>
  <c r="J938" i="3"/>
  <c r="J807" i="3"/>
  <c r="J961" i="3"/>
  <c r="J789" i="3"/>
  <c r="J787" i="3"/>
  <c r="J803" i="3"/>
  <c r="J802" i="3"/>
  <c r="J801" i="3"/>
  <c r="J881" i="3"/>
  <c r="J606" i="3"/>
  <c r="J610" i="3"/>
  <c r="J608" i="3"/>
  <c r="J666" i="3"/>
  <c r="J668" i="3"/>
  <c r="J613" i="3"/>
  <c r="J614" i="3"/>
  <c r="J616" i="3"/>
  <c r="J617" i="3"/>
  <c r="J716" i="3"/>
  <c r="J618" i="3"/>
  <c r="J717" i="3"/>
  <c r="J619" i="3"/>
  <c r="J718" i="3"/>
  <c r="J745" i="3"/>
  <c r="J620" i="3"/>
  <c r="J757" i="3"/>
  <c r="J773" i="3"/>
  <c r="J737" i="3"/>
  <c r="J84" i="3"/>
  <c r="J85" i="3"/>
  <c r="J626" i="3"/>
  <c r="J86" i="3"/>
  <c r="J936" i="3"/>
  <c r="J87" i="3"/>
  <c r="J88" i="3"/>
  <c r="J89" i="3"/>
  <c r="J627" i="3"/>
  <c r="J90" i="3"/>
  <c r="J738" i="3"/>
  <c r="J91" i="3"/>
  <c r="J92" i="3"/>
  <c r="J93" i="3"/>
  <c r="J94" i="3"/>
  <c r="J95" i="3"/>
  <c r="J96" i="3"/>
  <c r="J97" i="3"/>
  <c r="J98" i="3"/>
  <c r="J99" i="3"/>
  <c r="J628" i="3"/>
  <c r="J100" i="3"/>
  <c r="J629" i="3"/>
  <c r="J101" i="3"/>
  <c r="J102" i="3"/>
  <c r="J937" i="3"/>
  <c r="J103" i="3"/>
  <c r="J104" i="3"/>
  <c r="J105" i="3"/>
  <c r="J106" i="3"/>
  <c r="J107" i="3"/>
  <c r="J108" i="3"/>
  <c r="J672" i="3"/>
  <c r="J684" i="3"/>
  <c r="J695" i="3"/>
  <c r="J109" i="3"/>
  <c r="J110" i="3"/>
  <c r="J111" i="3"/>
  <c r="J698" i="3"/>
  <c r="J112" i="3"/>
  <c r="J113" i="3"/>
  <c r="J739" i="3"/>
  <c r="J114" i="3"/>
  <c r="J115" i="3"/>
  <c r="J116" i="3"/>
  <c r="J699" i="3"/>
  <c r="J700" i="3"/>
  <c r="J701" i="3"/>
  <c r="J117" i="3"/>
  <c r="J118" i="3"/>
  <c r="J119" i="3"/>
  <c r="J120" i="3"/>
  <c r="J121" i="3"/>
  <c r="J702" i="3"/>
  <c r="J122" i="3"/>
  <c r="J123" i="3"/>
  <c r="J740" i="3"/>
  <c r="J788" i="3"/>
  <c r="J870" i="3"/>
  <c r="J125" i="3"/>
  <c r="J126" i="3"/>
  <c r="J609" i="3"/>
  <c r="J742" i="3"/>
  <c r="J127" i="3"/>
  <c r="J128" i="3"/>
  <c r="J129" i="3"/>
  <c r="J785" i="3"/>
  <c r="J130" i="3"/>
  <c r="J131" i="3"/>
  <c r="J813" i="3"/>
  <c r="J132" i="3"/>
  <c r="J786" i="3"/>
  <c r="J133" i="3"/>
  <c r="J134" i="3"/>
  <c r="J703" i="3"/>
  <c r="J135" i="3"/>
  <c r="J136" i="3"/>
  <c r="J137" i="3"/>
  <c r="J138" i="3"/>
  <c r="J139" i="3"/>
  <c r="J743" i="3"/>
  <c r="J704" i="3"/>
  <c r="J140" i="3"/>
  <c r="J141" i="3"/>
  <c r="J779" i="3"/>
  <c r="J844" i="3"/>
  <c r="J142" i="3"/>
  <c r="J143" i="3"/>
  <c r="J144" i="3"/>
  <c r="J145" i="3"/>
  <c r="J758" i="3"/>
  <c r="J463" i="3"/>
  <c r="J464" i="3"/>
  <c r="J146" i="3"/>
  <c r="J843" i="3"/>
  <c r="J148" i="3"/>
  <c r="J759" i="3"/>
  <c r="J149" i="3"/>
  <c r="J150" i="3"/>
  <c r="J151" i="3"/>
  <c r="J152" i="3"/>
  <c r="J153" i="3"/>
  <c r="J154" i="3"/>
  <c r="J155" i="3"/>
  <c r="J719" i="3"/>
  <c r="J156" i="3"/>
  <c r="J157" i="3"/>
  <c r="J621" i="3"/>
  <c r="J760" i="3"/>
  <c r="J879" i="3"/>
  <c r="J158" i="3"/>
  <c r="J159" i="3"/>
  <c r="J160" i="3"/>
  <c r="J761" i="3"/>
  <c r="J720" i="3"/>
  <c r="J161" i="3"/>
  <c r="J162" i="3"/>
  <c r="J880" i="3"/>
  <c r="J163" i="3"/>
  <c r="J164" i="3"/>
  <c r="J762" i="3"/>
  <c r="J946" i="3"/>
  <c r="J166" i="3"/>
  <c r="J721" i="3"/>
  <c r="J764" i="3"/>
  <c r="J167" i="3"/>
  <c r="J168" i="3"/>
  <c r="J622" i="3"/>
  <c r="J169" i="3"/>
  <c r="J170" i="3"/>
  <c r="J171" i="3"/>
  <c r="J765" i="3"/>
  <c r="J766" i="3"/>
  <c r="J172" i="3"/>
  <c r="J173" i="3"/>
  <c r="J767" i="3"/>
  <c r="J771" i="3"/>
  <c r="J174" i="3"/>
  <c r="J175" i="3"/>
  <c r="J630" i="3"/>
  <c r="J631" i="3"/>
  <c r="J176" i="3"/>
  <c r="J772" i="3"/>
  <c r="J632" i="3"/>
  <c r="J633" i="3"/>
  <c r="J634" i="3"/>
  <c r="J635" i="3"/>
  <c r="J636" i="3"/>
  <c r="J637" i="3"/>
  <c r="J177" i="3"/>
  <c r="J953" i="3"/>
  <c r="J638" i="3"/>
  <c r="J639" i="3"/>
  <c r="J640" i="3"/>
  <c r="J179" i="3"/>
  <c r="J641" i="3"/>
  <c r="J845" i="3"/>
  <c r="J848" i="3"/>
  <c r="J643" i="3"/>
  <c r="J849" i="3"/>
  <c r="J645" i="3"/>
  <c r="J646" i="3"/>
  <c r="J647" i="3"/>
  <c r="J648" i="3"/>
  <c r="J649" i="3"/>
  <c r="J763" i="3"/>
  <c r="J650" i="3"/>
  <c r="J769" i="3"/>
  <c r="J181" i="3"/>
  <c r="J182" i="3"/>
  <c r="J183" i="3"/>
  <c r="J770" i="3"/>
  <c r="J651" i="3"/>
  <c r="J652" i="3"/>
  <c r="J653" i="3"/>
  <c r="J665" i="3"/>
  <c r="J853" i="3"/>
  <c r="J667" i="3"/>
  <c r="J654" i="3"/>
  <c r="J854" i="3"/>
  <c r="J669" i="3"/>
  <c r="J655" i="3"/>
  <c r="J855" i="3"/>
  <c r="J671" i="3"/>
  <c r="J945" i="3"/>
  <c r="J768" i="3"/>
  <c r="J673" i="3"/>
  <c r="J184" i="3"/>
  <c r="J674" i="3"/>
  <c r="J856" i="3"/>
  <c r="J656" i="3"/>
  <c r="J676" i="3"/>
  <c r="J677" i="3"/>
  <c r="J678" i="3"/>
  <c r="J679" i="3"/>
  <c r="J657" i="3"/>
  <c r="J604" i="3"/>
  <c r="J658" i="3"/>
  <c r="J850" i="3"/>
  <c r="J680" i="3"/>
  <c r="J681" i="3"/>
  <c r="J682" i="3"/>
  <c r="J683" i="3"/>
  <c r="J851" i="3"/>
  <c r="J859" i="3"/>
  <c r="J728" i="3"/>
  <c r="J460" i="3"/>
  <c r="J729" i="3"/>
  <c r="J624" i="3"/>
  <c r="J625" i="3"/>
  <c r="J852" i="3"/>
  <c r="J642" i="3"/>
  <c r="J685" i="3"/>
  <c r="J644" i="3"/>
  <c r="J659" i="3"/>
  <c r="J686" i="3"/>
  <c r="J687" i="3"/>
  <c r="J660" i="3"/>
  <c r="J688" i="3"/>
  <c r="J689" i="3"/>
  <c r="J661" i="3"/>
  <c r="J726" i="3"/>
  <c r="J461" i="3"/>
  <c r="J670" i="3"/>
  <c r="J675" i="3"/>
  <c r="J857" i="3"/>
  <c r="J690" i="3"/>
  <c r="J697" i="3"/>
  <c r="J691" i="3"/>
  <c r="J705" i="3"/>
  <c r="J706" i="3"/>
  <c r="J692" i="3"/>
  <c r="J707" i="3"/>
  <c r="J722" i="3"/>
  <c r="J710" i="3"/>
  <c r="J693" i="3"/>
  <c r="J723" i="3"/>
  <c r="J724" i="3"/>
  <c r="J711" i="3"/>
  <c r="J623" i="3"/>
  <c r="J712" i="3"/>
  <c r="J725" i="3"/>
  <c r="J185" i="3"/>
  <c r="J727" i="3"/>
  <c r="J730" i="3"/>
  <c r="J731" i="3"/>
  <c r="J713" i="3"/>
  <c r="J732" i="3"/>
  <c r="J714" i="3"/>
  <c r="J733" i="3"/>
  <c r="J734" i="3"/>
  <c r="J735" i="3"/>
  <c r="J186" i="3"/>
  <c r="J736" i="3"/>
  <c r="J741" i="3"/>
  <c r="J744" i="3"/>
  <c r="J462" i="3"/>
  <c r="J746" i="3"/>
  <c r="J747" i="3"/>
  <c r="J748" i="3"/>
  <c r="J749" i="3"/>
  <c r="J750" i="3"/>
  <c r="J751" i="3"/>
  <c r="J752" i="3"/>
  <c r="J753" i="3"/>
  <c r="J754" i="3"/>
  <c r="J694" i="3"/>
  <c r="J3" i="3"/>
  <c r="J4" i="3"/>
  <c r="J662" i="3"/>
  <c r="J5" i="3"/>
  <c r="J6" i="3"/>
  <c r="J7" i="3"/>
  <c r="J8" i="3"/>
  <c r="J755" i="3"/>
  <c r="J187" i="3"/>
  <c r="J9" i="3"/>
  <c r="J756" i="3"/>
  <c r="J10" i="3"/>
  <c r="J11" i="3"/>
  <c r="J12" i="3"/>
  <c r="J13" i="3"/>
  <c r="J14" i="3"/>
  <c r="J15" i="3"/>
  <c r="J800" i="3"/>
  <c r="J790" i="3"/>
  <c r="J791" i="3"/>
  <c r="J16" i="3"/>
  <c r="J605" i="3"/>
  <c r="J22" i="3"/>
  <c r="J792" i="3"/>
  <c r="J23" i="3"/>
  <c r="J24" i="3"/>
  <c r="J25" i="3"/>
  <c r="J26" i="3"/>
  <c r="J27" i="3"/>
  <c r="J793" i="3"/>
  <c r="J28" i="3"/>
  <c r="J696" i="3"/>
  <c r="J794" i="3"/>
  <c r="J29" i="3"/>
  <c r="J17" i="3"/>
  <c r="J858" i="3"/>
  <c r="J188" i="3"/>
  <c r="J30" i="3"/>
  <c r="J31" i="3"/>
  <c r="J935" i="3"/>
  <c r="J715" i="3"/>
  <c r="J32" i="3"/>
  <c r="J795" i="3"/>
  <c r="J796" i="3"/>
  <c r="G1" i="5"/>
  <c r="I36" i="5" s="1"/>
  <c r="J48" i="5"/>
  <c r="J49" i="5"/>
  <c r="J50" i="5"/>
  <c r="J51" i="5"/>
  <c r="J52" i="5"/>
  <c r="J53" i="5"/>
  <c r="J54" i="5"/>
  <c r="J55" i="5"/>
  <c r="J56" i="5"/>
  <c r="J57" i="5"/>
  <c r="J58" i="5"/>
  <c r="J59" i="5"/>
  <c r="J60" i="5"/>
  <c r="J61" i="5"/>
  <c r="J62" i="5"/>
  <c r="J63" i="5"/>
  <c r="J64"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15" i="5"/>
  <c r="J14" i="5"/>
  <c r="J13" i="5"/>
  <c r="J12" i="5"/>
  <c r="J11" i="5"/>
  <c r="J10" i="5"/>
  <c r="J9" i="5"/>
  <c r="J8" i="5"/>
  <c r="J7" i="5"/>
  <c r="J6" i="5"/>
  <c r="J5" i="5"/>
  <c r="J4" i="5"/>
  <c r="J3" i="5"/>
  <c r="J33" i="3"/>
  <c r="J38" i="3"/>
  <c r="J34" i="3"/>
  <c r="J797" i="3"/>
  <c r="J663" i="3"/>
  <c r="J39" i="3"/>
  <c r="J18" i="3"/>
  <c r="J40" i="3"/>
  <c r="J41" i="3"/>
  <c r="J19" i="3"/>
  <c r="J42" i="3"/>
  <c r="J774" i="3"/>
  <c r="J775" i="3"/>
  <c r="J43" i="3"/>
  <c r="J776" i="3"/>
  <c r="J777" i="3"/>
  <c r="J20" i="3"/>
  <c r="J35" i="3"/>
  <c r="J44" i="3"/>
  <c r="J778" i="3"/>
  <c r="J36" i="3"/>
  <c r="J45" i="3"/>
  <c r="J37" i="3"/>
  <c r="J46" i="3"/>
  <c r="J189" i="3"/>
  <c r="J47" i="3"/>
  <c r="J48" i="3"/>
  <c r="J49" i="3"/>
  <c r="J583" i="3"/>
  <c r="J664" i="3"/>
  <c r="J57" i="3"/>
  <c r="J59" i="3"/>
  <c r="J70" i="3"/>
  <c r="J71" i="3"/>
  <c r="J67" i="3"/>
  <c r="J68" i="3"/>
  <c r="J190" i="3"/>
  <c r="J69" i="3"/>
  <c r="J73" i="3"/>
  <c r="J808" i="3"/>
  <c r="J72" i="3"/>
  <c r="J50" i="3"/>
  <c r="J611" i="3"/>
  <c r="J708" i="3"/>
  <c r="J77" i="3"/>
  <c r="J51" i="3"/>
  <c r="J80" i="3"/>
  <c r="J52" i="3"/>
  <c r="J53" i="3"/>
  <c r="J54" i="3"/>
  <c r="J81" i="3"/>
  <c r="J809" i="3"/>
  <c r="J55" i="3"/>
  <c r="J780" i="3"/>
  <c r="J781" i="3"/>
  <c r="J56" i="3"/>
  <c r="J860" i="3"/>
  <c r="J58" i="3"/>
  <c r="J83" i="3"/>
  <c r="J124" i="3"/>
  <c r="J178" i="3"/>
  <c r="J195" i="3"/>
  <c r="J196" i="3"/>
  <c r="J197" i="3"/>
  <c r="J584" i="3"/>
  <c r="J198" i="3"/>
  <c r="J199" i="3"/>
  <c r="J200" i="3"/>
  <c r="J201" i="3"/>
  <c r="J202" i="3"/>
  <c r="J203" i="3"/>
  <c r="J204" i="3"/>
  <c r="J21" i="3"/>
  <c r="J865" i="3"/>
  <c r="J205" i="3"/>
  <c r="J74" i="3"/>
  <c r="J206" i="3"/>
  <c r="J207" i="3"/>
  <c r="J208" i="3"/>
  <c r="J607" i="3"/>
  <c r="J209" i="3"/>
  <c r="J210" i="3"/>
  <c r="J211" i="3"/>
  <c r="J212" i="3"/>
  <c r="J213" i="3"/>
  <c r="J214" i="3"/>
  <c r="J956" i="3"/>
  <c r="J861" i="3"/>
  <c r="J215" i="3"/>
  <c r="J216" i="3"/>
  <c r="J75" i="3"/>
  <c r="J60" i="3"/>
  <c r="J217" i="3"/>
  <c r="J585" i="3"/>
  <c r="J218" i="3"/>
  <c r="J219" i="3"/>
  <c r="J220" i="3"/>
  <c r="J221" i="3"/>
  <c r="J709" i="3"/>
  <c r="J586" i="3"/>
  <c r="J957" i="3"/>
  <c r="J846" i="3"/>
  <c r="J222" i="3"/>
  <c r="J612" i="3"/>
  <c r="J223" i="3"/>
  <c r="J224" i="3"/>
  <c r="J615" i="3"/>
  <c r="J225" i="3"/>
  <c r="J226" i="3"/>
  <c r="J227" i="3"/>
  <c r="J228" i="3"/>
  <c r="J229" i="3"/>
  <c r="J230" i="3"/>
  <c r="J231" i="3"/>
  <c r="J232" i="3"/>
  <c r="J233" i="3"/>
  <c r="J234" i="3"/>
  <c r="J61" i="3"/>
  <c r="J235" i="3"/>
  <c r="J236" i="3"/>
  <c r="J237" i="3"/>
  <c r="J238" i="3"/>
  <c r="J239" i="3"/>
  <c r="J958" i="3"/>
  <c r="J240" i="3"/>
  <c r="J241" i="3"/>
  <c r="J242" i="3"/>
  <c r="J878" i="3"/>
  <c r="J243" i="3"/>
  <c r="J244" i="3"/>
  <c r="J76" i="3"/>
  <c r="J245" i="3"/>
  <c r="J246" i="3"/>
  <c r="J247" i="3"/>
  <c r="J248" i="3"/>
  <c r="J249" i="3"/>
  <c r="J250" i="3"/>
  <c r="J251" i="3"/>
  <c r="J252" i="3"/>
  <c r="J253" i="3"/>
  <c r="J254" i="3"/>
  <c r="J255" i="3"/>
  <c r="J256" i="3"/>
  <c r="J257" i="3"/>
  <c r="J258" i="3"/>
  <c r="J259" i="3"/>
  <c r="J260" i="3"/>
  <c r="J959" i="3"/>
  <c r="J261" i="3"/>
  <c r="J262" i="3"/>
  <c r="J263" i="3"/>
  <c r="J264" i="3"/>
  <c r="J265" i="3"/>
  <c r="J266" i="3"/>
  <c r="J782" i="3"/>
  <c r="J267" i="3"/>
  <c r="J268" i="3"/>
  <c r="J587" i="3"/>
  <c r="J269" i="3"/>
  <c r="J270" i="3"/>
  <c r="J271" i="3"/>
  <c r="J272" i="3"/>
  <c r="J273" i="3"/>
  <c r="J62" i="3"/>
  <c r="J274" i="3"/>
  <c r="J275" i="3"/>
  <c r="J276" i="3"/>
  <c r="J277" i="3"/>
  <c r="J278" i="3"/>
  <c r="J279" i="3"/>
  <c r="J280" i="3"/>
  <c r="J281" i="3"/>
  <c r="J282" i="3"/>
  <c r="J283" i="3"/>
  <c r="J284" i="3"/>
  <c r="J588" i="3"/>
  <c r="J285" i="3"/>
  <c r="J286" i="3"/>
  <c r="J287" i="3"/>
  <c r="J288" i="3"/>
  <c r="J289" i="3"/>
  <c r="J290" i="3"/>
  <c r="J63" i="3"/>
  <c r="J291" i="3"/>
  <c r="J292" i="3"/>
  <c r="J293" i="3"/>
  <c r="J294" i="3"/>
  <c r="J295" i="3"/>
  <c r="J296" i="3"/>
  <c r="J297" i="3"/>
  <c r="J298" i="3"/>
  <c r="J299" i="3"/>
  <c r="J300" i="3"/>
  <c r="J301" i="3"/>
  <c r="J302" i="3"/>
  <c r="J303" i="3"/>
  <c r="J64" i="3"/>
  <c r="J304" i="3"/>
  <c r="J305" i="3"/>
  <c r="J306" i="3"/>
  <c r="J307" i="3"/>
  <c r="J308" i="3"/>
  <c r="J309" i="3"/>
  <c r="J310" i="3"/>
  <c r="J311" i="3"/>
  <c r="J312" i="3"/>
  <c r="J313" i="3"/>
  <c r="J314" i="3"/>
  <c r="J315" i="3"/>
  <c r="J316" i="3"/>
  <c r="J317" i="3"/>
  <c r="J318" i="3"/>
  <c r="J319" i="3"/>
  <c r="J320" i="3"/>
  <c r="J321" i="3"/>
  <c r="J322" i="3"/>
  <c r="J323" i="3"/>
  <c r="J324" i="3"/>
  <c r="J325" i="3"/>
  <c r="J589" i="3"/>
  <c r="J65" i="3"/>
  <c r="J326" i="3"/>
  <c r="J327" i="3"/>
  <c r="J328" i="3"/>
  <c r="J329" i="3"/>
  <c r="J330" i="3"/>
  <c r="J331" i="3"/>
  <c r="J332" i="3"/>
  <c r="J333" i="3"/>
  <c r="J334" i="3"/>
  <c r="J66" i="3"/>
  <c r="J335" i="3"/>
  <c r="J336" i="3"/>
  <c r="J337" i="3"/>
  <c r="J338" i="3"/>
  <c r="J339" i="3"/>
  <c r="J340" i="3"/>
  <c r="J590" i="3"/>
  <c r="J341" i="3"/>
  <c r="J192" i="3"/>
  <c r="J342" i="3"/>
  <c r="J343" i="3"/>
  <c r="J344" i="3"/>
  <c r="J345" i="3"/>
  <c r="J346" i="3"/>
  <c r="J347" i="3"/>
  <c r="J348" i="3"/>
  <c r="J866" i="3"/>
  <c r="J349" i="3"/>
  <c r="J871" i="3"/>
  <c r="J350" i="3"/>
  <c r="J591" i="3"/>
  <c r="J78" i="3"/>
  <c r="J940" i="3"/>
  <c r="J351" i="3"/>
  <c r="J352" i="3"/>
  <c r="J353" i="3"/>
  <c r="J592" i="3"/>
  <c r="J354" i="3"/>
  <c r="J355" i="3"/>
  <c r="J356" i="3"/>
  <c r="J357" i="3"/>
  <c r="J358" i="3"/>
  <c r="J941" i="3"/>
  <c r="J359" i="3"/>
  <c r="J360" i="3"/>
  <c r="J361" i="3"/>
  <c r="J862" i="3"/>
  <c r="J362" i="3"/>
  <c r="J363" i="3"/>
  <c r="J810" i="3"/>
  <c r="J942" i="3"/>
  <c r="J364" i="3"/>
  <c r="J79" i="3"/>
  <c r="J365" i="3"/>
  <c r="J366" i="3"/>
  <c r="J367" i="3"/>
  <c r="J368" i="3"/>
  <c r="J593" i="3"/>
  <c r="J369" i="3"/>
  <c r="J370" i="3"/>
  <c r="J371" i="3"/>
  <c r="J372" i="3"/>
  <c r="J373" i="3"/>
  <c r="J374" i="3"/>
  <c r="J375" i="3"/>
  <c r="J376" i="3"/>
  <c r="J377" i="3"/>
  <c r="J984" i="3"/>
  <c r="J378" i="3"/>
  <c r="J379" i="3"/>
  <c r="J380" i="3"/>
  <c r="J381" i="3"/>
  <c r="J382" i="3"/>
  <c r="J383" i="3"/>
  <c r="J384" i="3"/>
  <c r="J385" i="3"/>
  <c r="J386" i="3"/>
  <c r="J387" i="3"/>
  <c r="J872" i="3"/>
  <c r="J594" i="3"/>
  <c r="J847" i="3"/>
  <c r="J595" i="3"/>
  <c r="J388" i="3"/>
  <c r="J389" i="3"/>
  <c r="J390" i="3"/>
  <c r="J391" i="3"/>
  <c r="J874" i="3"/>
  <c r="J392" i="3"/>
  <c r="J393" i="3"/>
  <c r="J394" i="3"/>
  <c r="J395" i="3"/>
  <c r="J396" i="3"/>
  <c r="J397" i="3"/>
  <c r="J398" i="3"/>
  <c r="J399" i="3"/>
  <c r="J400" i="3"/>
  <c r="J401" i="3"/>
  <c r="J402" i="3"/>
  <c r="J403" i="3"/>
  <c r="J404" i="3"/>
  <c r="J405" i="3"/>
  <c r="J406" i="3"/>
  <c r="J596" i="3"/>
  <c r="J863" i="3"/>
  <c r="J407" i="3"/>
  <c r="J408" i="3"/>
  <c r="J943" i="3"/>
  <c r="J409" i="3"/>
  <c r="J410" i="3"/>
  <c r="J411" i="3"/>
  <c r="J412" i="3"/>
  <c r="J413" i="3"/>
  <c r="J985" i="3"/>
  <c r="J414" i="3"/>
  <c r="J415" i="3"/>
  <c r="J416" i="3"/>
  <c r="J417" i="3"/>
  <c r="J418" i="3"/>
  <c r="J419" i="3"/>
  <c r="J420" i="3"/>
  <c r="J421" i="3"/>
  <c r="J422" i="3"/>
  <c r="J423" i="3"/>
  <c r="J424" i="3"/>
  <c r="J873" i="3"/>
  <c r="J425" i="3"/>
  <c r="J426" i="3"/>
  <c r="J875" i="3"/>
  <c r="J867" i="3"/>
  <c r="J427" i="3"/>
  <c r="J428" i="3"/>
  <c r="J429" i="3"/>
  <c r="J430" i="3"/>
  <c r="J431" i="3"/>
  <c r="J432" i="3"/>
  <c r="J433" i="3"/>
  <c r="J868" i="3"/>
  <c r="J783" i="3"/>
  <c r="J434" i="3"/>
  <c r="J435" i="3"/>
  <c r="J436" i="3"/>
  <c r="J960" i="3"/>
  <c r="J437" i="3"/>
  <c r="J438" i="3"/>
  <c r="J439" i="3"/>
  <c r="J440" i="3"/>
  <c r="J441" i="3"/>
  <c r="J442" i="3"/>
  <c r="J443" i="3"/>
  <c r="J944" i="3"/>
  <c r="J444" i="3"/>
  <c r="J597" i="3"/>
  <c r="J445" i="3"/>
  <c r="J446" i="3"/>
  <c r="J598" i="3"/>
  <c r="J447" i="3"/>
  <c r="J448" i="3"/>
  <c r="J599" i="3"/>
  <c r="J449" i="3"/>
  <c r="J450" i="3"/>
  <c r="J451" i="3"/>
  <c r="J452" i="3"/>
  <c r="J453" i="3"/>
  <c r="J454" i="3"/>
  <c r="J455" i="3"/>
  <c r="J456" i="3"/>
  <c r="J457" i="3"/>
  <c r="J458" i="3"/>
  <c r="J459" i="3"/>
  <c r="J147" i="3"/>
  <c r="J165" i="3"/>
  <c r="J180" i="3"/>
  <c r="J191" i="3"/>
  <c r="J193" i="3"/>
  <c r="J465" i="3"/>
  <c r="J466" i="3"/>
  <c r="J467" i="3"/>
  <c r="J468" i="3"/>
  <c r="J784" i="3"/>
  <c r="J864" i="3"/>
  <c r="J469" i="3"/>
  <c r="J470" i="3"/>
  <c r="J471" i="3"/>
  <c r="J472" i="3"/>
  <c r="J473" i="3"/>
  <c r="J474" i="3"/>
  <c r="J194" i="3"/>
  <c r="J475" i="3"/>
  <c r="J476" i="3"/>
  <c r="J477" i="3"/>
  <c r="J478" i="3"/>
  <c r="J479" i="3"/>
  <c r="J480" i="3"/>
  <c r="J481" i="3"/>
  <c r="J482" i="3"/>
  <c r="J483" i="3"/>
  <c r="J484" i="3"/>
  <c r="J485" i="3"/>
  <c r="J486" i="3"/>
  <c r="J487" i="3"/>
  <c r="J488" i="3"/>
  <c r="J489" i="3"/>
  <c r="J490" i="3"/>
  <c r="J491" i="3"/>
  <c r="J600" i="3"/>
  <c r="J492" i="3"/>
  <c r="J601" i="3"/>
  <c r="J493" i="3"/>
  <c r="J947" i="3"/>
  <c r="J494" i="3"/>
  <c r="J495" i="3"/>
  <c r="J496" i="3"/>
  <c r="J497" i="3"/>
  <c r="J498" i="3"/>
  <c r="J499" i="3"/>
  <c r="J500" i="3"/>
  <c r="J82" i="3"/>
  <c r="J501" i="3"/>
  <c r="J502" i="3"/>
  <c r="J503" i="3"/>
  <c r="J504" i="3"/>
  <c r="J505" i="3"/>
  <c r="J506" i="3"/>
  <c r="J507" i="3"/>
  <c r="J508" i="3"/>
  <c r="J509" i="3"/>
  <c r="J510" i="3"/>
  <c r="J511" i="3"/>
  <c r="J512" i="3"/>
  <c r="J513" i="3"/>
  <c r="J514" i="3"/>
  <c r="J515" i="3"/>
  <c r="J602"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869" i="3"/>
  <c r="J558" i="3"/>
  <c r="J559" i="3"/>
  <c r="J560" i="3"/>
  <c r="J561" i="3"/>
  <c r="J562" i="3"/>
  <c r="J563" i="3"/>
  <c r="J564" i="3"/>
  <c r="J565" i="3"/>
  <c r="J566" i="3"/>
  <c r="J567" i="3"/>
  <c r="J568" i="3"/>
  <c r="J569" i="3"/>
  <c r="J570" i="3"/>
  <c r="J603" i="3"/>
  <c r="J571" i="3"/>
  <c r="J572" i="3"/>
  <c r="J573" i="3"/>
  <c r="J574" i="3"/>
  <c r="J575" i="3"/>
  <c r="J576" i="3"/>
  <c r="J577" i="3"/>
  <c r="J578" i="3"/>
  <c r="J579" i="3"/>
  <c r="J580" i="3"/>
  <c r="J581" i="3"/>
  <c r="J582" i="3"/>
  <c r="J215" i="4"/>
  <c r="J155" i="4"/>
  <c r="J263" i="4"/>
  <c r="J154" i="4"/>
  <c r="J229" i="4"/>
  <c r="J203" i="4"/>
  <c r="J233" i="4"/>
  <c r="J153" i="4"/>
  <c r="J211" i="4"/>
  <c r="J223" i="4"/>
  <c r="J228" i="4"/>
  <c r="J152" i="4"/>
  <c r="J303" i="4"/>
  <c r="J151" i="4"/>
  <c r="J150" i="4"/>
  <c r="J189" i="4"/>
  <c r="J213" i="4"/>
  <c r="J224" i="4"/>
  <c r="J149" i="4"/>
  <c r="J196" i="4"/>
  <c r="J166" i="4"/>
  <c r="J148" i="4"/>
  <c r="J147" i="4"/>
  <c r="J146" i="4"/>
  <c r="J212" i="4"/>
  <c r="J259" i="4"/>
  <c r="J232" i="4"/>
  <c r="J162" i="4"/>
  <c r="J214" i="4"/>
  <c r="J262" i="4"/>
  <c r="J210" i="4"/>
  <c r="J145" i="4"/>
  <c r="J165" i="4"/>
  <c r="J226" i="4"/>
  <c r="J144" i="4"/>
  <c r="J222" i="4"/>
  <c r="J188" i="4"/>
  <c r="J209" i="4"/>
  <c r="J187" i="4"/>
  <c r="J208" i="4"/>
  <c r="J207" i="4"/>
  <c r="J143" i="4"/>
  <c r="J164" i="4"/>
  <c r="J142" i="4"/>
  <c r="J141" i="4"/>
  <c r="J186" i="4"/>
  <c r="J140" i="4"/>
  <c r="J139" i="4"/>
  <c r="J138" i="4"/>
  <c r="J277" i="4"/>
  <c r="J137" i="4"/>
  <c r="J136" i="4"/>
  <c r="J135" i="4"/>
  <c r="J134" i="4"/>
  <c r="J161" i="4"/>
  <c r="J184" i="4"/>
  <c r="J133" i="4"/>
  <c r="J185" i="4"/>
  <c r="J132" i="4"/>
  <c r="J221" i="4"/>
  <c r="J131" i="4"/>
  <c r="J130" i="4"/>
  <c r="J129" i="4"/>
  <c r="J128" i="4"/>
  <c r="J220" i="4"/>
  <c r="J127" i="4"/>
  <c r="J126" i="4"/>
  <c r="J125" i="4"/>
  <c r="J195" i="4"/>
  <c r="J124" i="4"/>
  <c r="J123" i="4"/>
  <c r="J160" i="4"/>
  <c r="J122" i="4"/>
  <c r="J121" i="4"/>
  <c r="J120" i="4"/>
  <c r="J159" i="4"/>
  <c r="J119" i="4"/>
  <c r="J158" i="4"/>
  <c r="J118" i="4"/>
  <c r="J117" i="4"/>
  <c r="J116" i="4"/>
  <c r="J115" i="4"/>
  <c r="J114" i="4"/>
  <c r="J113" i="4"/>
  <c r="J112" i="4"/>
  <c r="J111" i="4"/>
  <c r="J183" i="4"/>
  <c r="J110" i="4"/>
  <c r="J109" i="4"/>
  <c r="J108" i="4"/>
  <c r="J107" i="4"/>
  <c r="J157" i="4"/>
  <c r="J201" i="4"/>
  <c r="J225" i="4"/>
  <c r="J194" i="4"/>
  <c r="J106" i="4"/>
  <c r="J88" i="4"/>
  <c r="J68" i="4"/>
  <c r="J105" i="4"/>
  <c r="J104" i="4"/>
  <c r="J103" i="4"/>
  <c r="J102" i="4"/>
  <c r="J101" i="4"/>
  <c r="J100" i="4"/>
  <c r="J99" i="4"/>
  <c r="J98" i="4"/>
  <c r="J97" i="4"/>
  <c r="J96" i="4"/>
  <c r="J95" i="4"/>
  <c r="J94" i="4"/>
  <c r="J93" i="4"/>
  <c r="J92" i="4"/>
  <c r="J91" i="4"/>
  <c r="J90" i="4"/>
  <c r="J89" i="4"/>
  <c r="J63" i="4"/>
  <c r="J87" i="4"/>
  <c r="J86" i="4"/>
  <c r="J85" i="4"/>
  <c r="J84" i="4"/>
  <c r="J83" i="4"/>
  <c r="J82" i="4"/>
  <c r="J81" i="4"/>
  <c r="J258" i="4"/>
  <c r="J80" i="4"/>
  <c r="J79" i="4"/>
  <c r="J78" i="4"/>
  <c r="J77" i="4"/>
  <c r="J76" i="4"/>
  <c r="J163" i="4"/>
  <c r="J75" i="4"/>
  <c r="J74" i="4"/>
  <c r="J73" i="4"/>
  <c r="J72" i="4"/>
  <c r="J71" i="4"/>
  <c r="J70" i="4"/>
  <c r="J182" i="4"/>
  <c r="J49" i="4"/>
  <c r="J48" i="4"/>
  <c r="J47" i="4"/>
  <c r="J181" i="4"/>
  <c r="J46" i="4"/>
  <c r="J69" i="4"/>
  <c r="J45" i="4"/>
  <c r="J202" i="4"/>
  <c r="J44" i="4"/>
  <c r="J219" i="4"/>
  <c r="J43" i="4"/>
  <c r="J180" i="4"/>
  <c r="J42" i="4"/>
  <c r="J41" i="4"/>
  <c r="J179" i="4"/>
  <c r="J40" i="4"/>
  <c r="J178" i="4"/>
  <c r="J39" i="4"/>
  <c r="J193" i="4"/>
  <c r="J67" i="4"/>
  <c r="J66" i="4"/>
  <c r="J38" i="4"/>
  <c r="J65" i="4"/>
  <c r="J64" i="4"/>
  <c r="J37" i="4"/>
  <c r="J36" i="4"/>
  <c r="J177" i="4"/>
  <c r="J227" i="4"/>
  <c r="J35" i="4"/>
  <c r="J156" i="4"/>
  <c r="J34" i="4"/>
  <c r="J62" i="4"/>
  <c r="J33" i="4"/>
  <c r="J32" i="4"/>
  <c r="J31" i="4"/>
  <c r="J30" i="4"/>
  <c r="J176" i="4"/>
  <c r="J175" i="4"/>
  <c r="J29" i="4"/>
  <c r="J28" i="4"/>
  <c r="J27" i="4"/>
  <c r="J26" i="4"/>
  <c r="J25" i="4"/>
  <c r="J192" i="4"/>
  <c r="J24" i="4"/>
  <c r="J61" i="4"/>
  <c r="J23" i="4"/>
  <c r="J60" i="4"/>
  <c r="J22" i="4"/>
  <c r="J200" i="4"/>
  <c r="J21" i="4"/>
  <c r="J59" i="4"/>
  <c r="J20" i="4"/>
  <c r="J58" i="4"/>
  <c r="J19" i="4"/>
  <c r="J198" i="4"/>
  <c r="J18" i="4"/>
  <c r="J57" i="4"/>
  <c r="J17" i="4"/>
  <c r="J16" i="4"/>
  <c r="J15" i="4"/>
  <c r="J206" i="4"/>
  <c r="J199" i="4"/>
  <c r="J217" i="4"/>
  <c r="J174" i="4"/>
  <c r="J173" i="4"/>
  <c r="J205" i="4"/>
  <c r="J172" i="4"/>
  <c r="J171" i="4"/>
  <c r="J170" i="4"/>
  <c r="J169" i="4"/>
  <c r="J168" i="4"/>
  <c r="J14" i="4"/>
  <c r="J13" i="4"/>
  <c r="J12" i="4"/>
  <c r="J11" i="4"/>
  <c r="J56" i="4"/>
  <c r="J55" i="4"/>
  <c r="J10" i="4"/>
  <c r="J9" i="4"/>
  <c r="J8" i="4"/>
  <c r="J197" i="4"/>
  <c r="J54" i="4"/>
  <c r="J53" i="4"/>
  <c r="J167" i="4"/>
  <c r="J191" i="4"/>
  <c r="J7" i="4"/>
  <c r="J52" i="4"/>
  <c r="J6" i="4"/>
  <c r="J5" i="4"/>
  <c r="J51" i="4"/>
  <c r="J260" i="4"/>
  <c r="J4" i="4"/>
  <c r="J50" i="4"/>
  <c r="J3" i="4"/>
  <c r="J15" i="1"/>
  <c r="J14" i="1"/>
  <c r="J13" i="1"/>
  <c r="J12" i="1"/>
  <c r="J11" i="1"/>
  <c r="J10" i="1"/>
  <c r="J9" i="1"/>
  <c r="J8" i="1"/>
  <c r="J7" i="1"/>
  <c r="J6" i="1"/>
  <c r="J5" i="1"/>
  <c r="J4" i="1"/>
  <c r="J3" i="1"/>
  <c r="G1" i="1"/>
  <c r="I6" i="1" s="1"/>
  <c r="I333" i="4" l="1"/>
  <c r="I332" i="4"/>
  <c r="I331" i="4"/>
  <c r="I330" i="4"/>
  <c r="I329" i="4"/>
  <c r="I328" i="4"/>
  <c r="I327" i="4"/>
  <c r="I326" i="4"/>
  <c r="I325" i="4"/>
  <c r="I324" i="4"/>
  <c r="I323" i="4"/>
  <c r="I378" i="3"/>
  <c r="I393" i="3"/>
  <c r="I170" i="3"/>
  <c r="I936" i="3"/>
  <c r="I676" i="3"/>
  <c r="I555" i="3"/>
  <c r="I542" i="3"/>
  <c r="I395" i="3"/>
  <c r="I210" i="3"/>
  <c r="I9" i="3"/>
  <c r="I943" i="3"/>
  <c r="I279" i="3"/>
  <c r="I226" i="3"/>
  <c r="I197" i="3"/>
  <c r="I372" i="3"/>
  <c r="I219" i="3"/>
  <c r="I579" i="3"/>
  <c r="I488" i="3"/>
  <c r="I195" i="3"/>
  <c r="I322" i="3"/>
  <c r="I977" i="3"/>
  <c r="I535" i="3"/>
  <c r="I830" i="3"/>
  <c r="I403" i="3"/>
  <c r="I700" i="3"/>
  <c r="I556" i="3"/>
  <c r="I523" i="3"/>
  <c r="I772" i="3"/>
  <c r="I604" i="3"/>
  <c r="I303" i="3"/>
  <c r="I961" i="3"/>
  <c r="I140" i="3"/>
  <c r="I39" i="3"/>
  <c r="I652" i="3"/>
  <c r="I154" i="3"/>
  <c r="I302" i="3"/>
  <c r="I815" i="3"/>
  <c r="I826" i="3"/>
  <c r="I760" i="3"/>
  <c r="I978" i="3"/>
  <c r="I37" i="3"/>
  <c r="I155" i="3"/>
  <c r="I707" i="3"/>
  <c r="I768" i="3"/>
  <c r="I90" i="3"/>
  <c r="I761" i="3"/>
  <c r="I850" i="3"/>
  <c r="I565" i="3"/>
  <c r="I390" i="3"/>
  <c r="I686" i="3"/>
  <c r="I588" i="3"/>
  <c r="I304" i="3"/>
  <c r="I202" i="3"/>
  <c r="I38" i="3"/>
  <c r="I845" i="3"/>
  <c r="I111" i="3"/>
  <c r="I93" i="3"/>
  <c r="I783" i="3"/>
  <c r="I633" i="3"/>
  <c r="I828" i="3"/>
  <c r="I46" i="3"/>
  <c r="I178" i="3"/>
  <c r="I506" i="3"/>
  <c r="I909" i="3"/>
  <c r="I670" i="3"/>
  <c r="I327" i="3"/>
  <c r="I108" i="3"/>
  <c r="I265" i="3"/>
  <c r="I596" i="3"/>
  <c r="I89" i="3"/>
  <c r="I78" i="3"/>
  <c r="I942" i="3"/>
  <c r="I71" i="3"/>
  <c r="I867" i="3"/>
  <c r="I436" i="3"/>
  <c r="I569" i="3"/>
  <c r="I807" i="3"/>
  <c r="I891" i="3"/>
  <c r="I549" i="3"/>
  <c r="I842" i="3"/>
  <c r="I835" i="3"/>
  <c r="I190" i="3"/>
  <c r="I389" i="3"/>
  <c r="I776" i="3"/>
  <c r="I450" i="3"/>
  <c r="I273" i="3"/>
  <c r="I320" i="3"/>
  <c r="I890" i="3"/>
  <c r="I241" i="4"/>
  <c r="I413" i="3"/>
  <c r="I225" i="3"/>
  <c r="I128" i="3"/>
  <c r="I237" i="3"/>
  <c r="I218" i="3"/>
  <c r="I529" i="3"/>
  <c r="I476" i="3"/>
  <c r="I673" i="3"/>
  <c r="I417" i="3"/>
  <c r="I25" i="3"/>
  <c r="I32" i="3"/>
  <c r="I239" i="3"/>
  <c r="I923" i="3"/>
  <c r="I522" i="3"/>
  <c r="I925" i="3"/>
  <c r="I312" i="3"/>
  <c r="I366" i="3"/>
  <c r="I50" i="3"/>
  <c r="I661" i="3"/>
  <c r="I441" i="3"/>
  <c r="I4" i="3"/>
  <c r="I51" i="4"/>
  <c r="I262" i="4"/>
  <c r="I32" i="4"/>
  <c r="I291" i="4"/>
  <c r="I301" i="4"/>
  <c r="I251" i="4"/>
  <c r="I279" i="4"/>
  <c r="I141" i="4"/>
  <c r="I284" i="4"/>
  <c r="I229" i="4"/>
  <c r="I67" i="4"/>
  <c r="I13" i="4"/>
  <c r="I18" i="4"/>
  <c r="I27" i="4"/>
  <c r="I255" i="4"/>
  <c r="I59" i="4"/>
  <c r="I196" i="4"/>
  <c r="I22" i="4"/>
  <c r="I188" i="4"/>
  <c r="I29" i="4"/>
  <c r="I144" i="4"/>
  <c r="I238" i="4"/>
  <c r="I78" i="4"/>
  <c r="I281" i="4"/>
  <c r="I213" i="4"/>
  <c r="I237" i="4"/>
  <c r="I65" i="4"/>
  <c r="I118" i="4"/>
  <c r="I147" i="4"/>
  <c r="I84" i="4"/>
  <c r="I52" i="4"/>
  <c r="I128" i="4"/>
  <c r="I163" i="4"/>
  <c r="I211" i="4"/>
  <c r="I193" i="4"/>
  <c r="I80" i="4"/>
  <c r="I152" i="4"/>
  <c r="I42" i="4"/>
  <c r="I186" i="4"/>
  <c r="I106" i="4"/>
  <c r="I28" i="4"/>
  <c r="I231" i="4"/>
  <c r="I48" i="4"/>
  <c r="I966" i="3"/>
  <c r="I695" i="3"/>
  <c r="I384" i="3"/>
  <c r="I521" i="3"/>
  <c r="I855" i="3"/>
  <c r="I511" i="3"/>
  <c r="I260" i="3"/>
  <c r="I858" i="3"/>
  <c r="I43" i="3"/>
  <c r="I725" i="3"/>
  <c r="I199" i="3"/>
  <c r="I281" i="3"/>
  <c r="I584" i="3"/>
  <c r="I485" i="3"/>
  <c r="I671" i="3"/>
  <c r="I669" i="3"/>
  <c r="I151" i="4"/>
  <c r="I283" i="4"/>
  <c r="I198" i="4"/>
  <c r="I202" i="4"/>
  <c r="I173" i="4"/>
  <c r="I47" i="4"/>
  <c r="I292" i="4"/>
  <c r="I226" i="4"/>
  <c r="I135" i="4"/>
  <c r="I102" i="4"/>
  <c r="I155" i="4"/>
  <c r="I227" i="4"/>
  <c r="I112" i="4"/>
  <c r="I195" i="4"/>
  <c r="I222" i="4"/>
  <c r="I145" i="4"/>
  <c r="I244" i="4"/>
  <c r="I194" i="4"/>
  <c r="I153" i="4"/>
  <c r="I181" i="4"/>
  <c r="I209" i="4"/>
  <c r="I7" i="4"/>
  <c r="I95" i="4"/>
  <c r="I88" i="4"/>
  <c r="I257" i="4"/>
  <c r="I260" i="4"/>
  <c r="I87" i="4"/>
  <c r="I285" i="4"/>
  <c r="I299" i="4"/>
  <c r="I254" i="4"/>
  <c r="I274" i="4"/>
  <c r="I245" i="4"/>
  <c r="I938" i="3"/>
  <c r="I919" i="3"/>
  <c r="I681" i="3"/>
  <c r="I868" i="3"/>
  <c r="I623" i="3"/>
  <c r="I447" i="3"/>
  <c r="I280" i="4"/>
  <c r="I158" i="4"/>
  <c r="I110" i="4"/>
  <c r="I287" i="4"/>
  <c r="I10" i="5"/>
  <c r="I232" i="4"/>
  <c r="I290" i="4"/>
  <c r="I9" i="4"/>
  <c r="I92" i="4"/>
  <c r="I183" i="3"/>
  <c r="I206" i="3"/>
  <c r="I385" i="3"/>
  <c r="I703" i="3"/>
  <c r="I986" i="3"/>
  <c r="I537" i="3"/>
  <c r="I469" i="3"/>
  <c r="I545" i="3"/>
  <c r="I100" i="3"/>
  <c r="I97" i="3"/>
  <c r="I912" i="3"/>
  <c r="I3" i="4"/>
  <c r="I143" i="4"/>
  <c r="I66" i="4"/>
  <c r="I269" i="3"/>
  <c r="I10" i="4"/>
  <c r="I79" i="4"/>
  <c r="I258" i="4"/>
  <c r="I12" i="1"/>
  <c r="I15" i="1"/>
  <c r="I193" i="3"/>
  <c r="I777" i="3"/>
  <c r="I496" i="3"/>
  <c r="I314" i="3"/>
  <c r="I253" i="3"/>
  <c r="I275" i="3"/>
  <c r="I512" i="3"/>
  <c r="I602" i="3"/>
  <c r="I233" i="4"/>
  <c r="I60" i="4"/>
  <c r="I57" i="4"/>
  <c r="I58" i="4"/>
  <c r="I108" i="4"/>
  <c r="I104" i="4"/>
  <c r="I259" i="4"/>
  <c r="I212" i="4"/>
  <c r="I37" i="4"/>
  <c r="I120" i="4"/>
  <c r="I31" i="4"/>
  <c r="I300" i="4"/>
  <c r="I96" i="4"/>
  <c r="I115" i="4"/>
  <c r="I242" i="4"/>
  <c r="I187" i="4"/>
  <c r="I121" i="4"/>
  <c r="I16" i="4"/>
  <c r="I203" i="4"/>
  <c r="I105" i="4"/>
  <c r="I25" i="4"/>
  <c r="I221" i="4"/>
  <c r="I36" i="4"/>
  <c r="I185" i="4"/>
  <c r="I99" i="4"/>
  <c r="I149" i="4"/>
  <c r="I154" i="4"/>
  <c r="I150" i="4"/>
  <c r="I294" i="4"/>
  <c r="I269" i="4"/>
  <c r="I256" i="4"/>
  <c r="I177" i="4"/>
  <c r="I253" i="4"/>
  <c r="I612" i="3"/>
  <c r="I759" i="3"/>
  <c r="I72" i="3"/>
  <c r="I557" i="3"/>
  <c r="I502" i="3"/>
  <c r="I575" i="3"/>
  <c r="I47" i="3"/>
  <c r="I455" i="3"/>
  <c r="I9" i="1"/>
  <c r="I8" i="1"/>
  <c r="I4" i="1"/>
  <c r="I35" i="4"/>
  <c r="I124" i="4"/>
  <c r="I43" i="4"/>
  <c r="I201" i="3"/>
  <c r="I679" i="3"/>
  <c r="I901" i="3"/>
  <c r="I734" i="3"/>
  <c r="I100" i="4"/>
  <c r="I206" i="4"/>
  <c r="I286" i="4"/>
  <c r="I8" i="4"/>
  <c r="I466" i="3"/>
  <c r="I721" i="3"/>
  <c r="I554" i="3"/>
  <c r="I144" i="3"/>
  <c r="I325" i="3"/>
  <c r="I780" i="3"/>
  <c r="I280" i="3"/>
  <c r="I795" i="3"/>
  <c r="I583" i="3"/>
  <c r="I97" i="4"/>
  <c r="I355" i="3"/>
  <c r="I662" i="3"/>
  <c r="I298" i="4"/>
  <c r="I272" i="4"/>
  <c r="I17" i="4"/>
  <c r="I45" i="3"/>
  <c r="I241" i="3"/>
  <c r="I268" i="3"/>
  <c r="I363" i="3"/>
  <c r="I530" i="3"/>
  <c r="I351" i="3"/>
  <c r="I550" i="3"/>
  <c r="I156" i="3"/>
  <c r="I287" i="3"/>
  <c r="I771" i="3"/>
  <c r="I877" i="3"/>
  <c r="I558" i="3"/>
  <c r="I361" i="3"/>
  <c r="I252" i="3"/>
  <c r="I963" i="3"/>
  <c r="I865" i="3"/>
  <c r="I263" i="3"/>
  <c r="I878" i="3"/>
  <c r="I903" i="3"/>
  <c r="I288" i="3"/>
  <c r="I954" i="3"/>
  <c r="I641" i="3"/>
  <c r="I699" i="3"/>
  <c r="I69" i="4"/>
  <c r="I524" i="3"/>
  <c r="I303" i="4"/>
  <c r="I129" i="4"/>
  <c r="I130" i="4"/>
  <c r="I123" i="4"/>
  <c r="I217" i="4"/>
  <c r="I125" i="4"/>
  <c r="I308" i="4"/>
  <c r="I82" i="4"/>
  <c r="I717" i="3"/>
  <c r="I121" i="3"/>
  <c r="I300" i="3"/>
  <c r="I885" i="3"/>
  <c r="I249" i="3"/>
  <c r="I251" i="3"/>
  <c r="I370" i="3"/>
  <c r="I784" i="3"/>
  <c r="I719" i="3"/>
  <c r="I308" i="3"/>
  <c r="I486" i="3"/>
  <c r="I354" i="3"/>
  <c r="I84" i="3"/>
  <c r="I11" i="1"/>
  <c r="I3" i="1"/>
  <c r="I10" i="1"/>
  <c r="I816" i="3"/>
  <c r="I461" i="3"/>
  <c r="I625" i="3"/>
  <c r="I932" i="3"/>
  <c r="I307" i="3"/>
  <c r="I581" i="3"/>
  <c r="I481" i="3"/>
  <c r="I577" i="3"/>
  <c r="I965" i="3"/>
  <c r="I41" i="3"/>
  <c r="I137" i="3"/>
  <c r="I983" i="3"/>
  <c r="I778" i="3"/>
  <c r="I295" i="4"/>
  <c r="I160" i="4"/>
  <c r="I139" i="4"/>
  <c r="I131" i="4"/>
  <c r="I309" i="4"/>
  <c r="I210" i="4"/>
  <c r="I175" i="4"/>
  <c r="I215" i="4"/>
  <c r="I176" i="4"/>
  <c r="I235" i="4"/>
  <c r="I94" i="4"/>
  <c r="I302" i="4"/>
  <c r="I264" i="4"/>
  <c r="I273" i="4"/>
  <c r="I7" i="1"/>
  <c r="I47" i="5"/>
  <c r="I13" i="1"/>
  <c r="I296" i="3"/>
  <c r="I66" i="3"/>
  <c r="I751" i="3"/>
  <c r="I135" i="3"/>
  <c r="I5" i="1"/>
  <c r="I14" i="1"/>
  <c r="I71" i="4"/>
  <c r="I267" i="4"/>
  <c r="I18" i="5"/>
  <c r="I140" i="4"/>
  <c r="I20" i="4"/>
  <c r="I192" i="4"/>
  <c r="I54" i="5"/>
  <c r="I316" i="4"/>
  <c r="I119" i="4"/>
  <c r="I74" i="4"/>
  <c r="I162" i="4"/>
  <c r="I166" i="4"/>
  <c r="I263" i="4"/>
  <c r="I114" i="4"/>
  <c r="I297" i="4"/>
  <c r="I23" i="4"/>
  <c r="I265" i="4"/>
  <c r="I39" i="4"/>
  <c r="I109" i="4"/>
  <c r="I288" i="4"/>
  <c r="I201" i="4"/>
  <c r="I164" i="4"/>
  <c r="I133" i="4"/>
  <c r="I305" i="4"/>
  <c r="I38" i="4"/>
  <c r="I54" i="4"/>
  <c r="I310" i="4"/>
  <c r="I277" i="4"/>
  <c r="I148" i="4"/>
  <c r="I178" i="4"/>
  <c r="I179" i="4"/>
  <c r="I204" i="4"/>
  <c r="I307" i="4"/>
  <c r="I228" i="4"/>
  <c r="I189" i="4"/>
  <c r="I311" i="4"/>
  <c r="I157" i="4"/>
  <c r="I252" i="4"/>
  <c r="I75" i="4"/>
  <c r="I116" i="4"/>
  <c r="I240" i="4"/>
  <c r="I107" i="4"/>
  <c r="I41" i="4"/>
  <c r="I44" i="4"/>
  <c r="I55" i="4"/>
  <c r="I293" i="4"/>
  <c r="I312" i="4"/>
  <c r="I165" i="4"/>
  <c r="I103" i="4"/>
  <c r="I122" i="4"/>
  <c r="I61" i="4"/>
  <c r="I81" i="4"/>
  <c r="I224" i="4"/>
  <c r="I234" i="4"/>
  <c r="I68" i="4"/>
  <c r="I313" i="4"/>
  <c r="I19" i="4"/>
  <c r="I216" i="4"/>
  <c r="I271" i="4"/>
  <c r="I59" i="5"/>
  <c r="I23" i="5"/>
  <c r="I8" i="5"/>
  <c r="I32" i="5"/>
  <c r="I53" i="5"/>
  <c r="I12" i="5"/>
  <c r="I34" i="5"/>
  <c r="I28" i="5"/>
  <c r="I415" i="3"/>
  <c r="I921" i="3"/>
  <c r="I906" i="3"/>
  <c r="I426" i="3"/>
  <c r="I198" i="3"/>
  <c r="I528" i="3"/>
  <c r="I335" i="3"/>
  <c r="I209" i="3"/>
  <c r="I14" i="3"/>
  <c r="I762" i="3"/>
  <c r="I984" i="3"/>
  <c r="I509" i="3"/>
  <c r="I982" i="3"/>
  <c r="I898" i="3"/>
  <c r="I756" i="3"/>
  <c r="I620" i="3"/>
  <c r="I106" i="3"/>
  <c r="I973" i="3"/>
  <c r="I949" i="3"/>
  <c r="I360" i="3"/>
  <c r="I546" i="3"/>
  <c r="I286" i="3"/>
  <c r="I618" i="3"/>
  <c r="I256" i="3"/>
  <c r="I572" i="3"/>
  <c r="I666" i="3"/>
  <c r="I827" i="3"/>
  <c r="I870" i="3"/>
  <c r="I244" i="3"/>
  <c r="I427" i="3"/>
  <c r="I752" i="3"/>
  <c r="I635" i="3"/>
  <c r="I888" i="3"/>
  <c r="I801" i="3"/>
  <c r="I387" i="3"/>
  <c r="I750" i="3"/>
  <c r="I22" i="5"/>
  <c r="I229" i="3"/>
  <c r="I739" i="3"/>
  <c r="I112" i="3"/>
  <c r="I56" i="5"/>
  <c r="I19" i="5"/>
  <c r="I6" i="5"/>
  <c r="I319" i="4"/>
  <c r="I50" i="4"/>
  <c r="I741" i="3"/>
  <c r="I180" i="4"/>
  <c r="I72" i="4"/>
  <c r="I127" i="4"/>
  <c r="I14" i="4"/>
  <c r="I223" i="4"/>
  <c r="I267" i="3"/>
  <c r="I169" i="4"/>
  <c r="I132" i="4"/>
  <c r="I117" i="4"/>
  <c r="I56" i="4"/>
  <c r="I230" i="4"/>
  <c r="I89" i="4"/>
  <c r="I174" i="4"/>
  <c r="I702" i="3"/>
  <c r="I917" i="3"/>
  <c r="I153" i="3"/>
  <c r="I791" i="3"/>
  <c r="I732" i="3"/>
  <c r="I464" i="3"/>
  <c r="I259" i="3"/>
  <c r="I343" i="3"/>
  <c r="I782" i="3"/>
  <c r="I94" i="3"/>
  <c r="I487" i="3"/>
  <c r="I444" i="3"/>
  <c r="I453" i="3"/>
  <c r="I194" i="3"/>
  <c r="I319" i="3"/>
  <c r="I388" i="3"/>
  <c r="I957" i="3"/>
  <c r="I639" i="3"/>
  <c r="I276" i="3"/>
  <c r="I7" i="3"/>
  <c r="I559" i="3"/>
  <c r="I678" i="3"/>
  <c r="I875" i="3"/>
  <c r="I99" i="3"/>
  <c r="I3" i="3"/>
  <c r="I49" i="3"/>
  <c r="I292" i="3"/>
  <c r="I820" i="3"/>
  <c r="I282" i="3"/>
  <c r="I162" i="3"/>
  <c r="I715" i="3"/>
  <c r="I899" i="3"/>
  <c r="I789" i="3"/>
  <c r="I70" i="3"/>
  <c r="I972" i="3"/>
  <c r="I893" i="3"/>
  <c r="I114" i="3"/>
  <c r="I547" i="3"/>
  <c r="I735" i="3"/>
  <c r="I727" i="3"/>
  <c r="I712" i="3"/>
  <c r="I597" i="3"/>
  <c r="I457" i="3"/>
  <c r="I339" i="3"/>
  <c r="I825" i="3"/>
  <c r="I57" i="3"/>
  <c r="I255" i="3"/>
  <c r="I952" i="3"/>
  <c r="I69" i="3"/>
  <c r="I311" i="3"/>
  <c r="I394" i="3"/>
  <c r="I421" i="3"/>
  <c r="I104" i="3"/>
  <c r="I435" i="3"/>
  <c r="I305" i="3"/>
  <c r="I872" i="3"/>
  <c r="I365" i="3"/>
  <c r="I57" i="5"/>
  <c r="I23" i="3"/>
  <c r="I705" i="3"/>
  <c r="I672" i="3"/>
  <c r="I37" i="5"/>
  <c r="I13" i="5"/>
  <c r="I25" i="5"/>
  <c r="I320" i="4"/>
  <c r="I249" i="4"/>
  <c r="I172" i="4"/>
  <c r="I113" i="4"/>
  <c r="I207" i="4"/>
  <c r="I289" i="4"/>
  <c r="I197" i="4"/>
  <c r="I200" i="4"/>
  <c r="I191" i="4"/>
  <c r="I171" i="4"/>
  <c r="I40" i="4"/>
  <c r="I21" i="4"/>
  <c r="I199" i="4"/>
  <c r="I266" i="4"/>
  <c r="I101" i="4"/>
  <c r="I309" i="3"/>
  <c r="I261" i="4"/>
  <c r="I73" i="4"/>
  <c r="I34" i="4"/>
  <c r="I83" i="4"/>
  <c r="I170" i="4"/>
  <c r="I134" i="4"/>
  <c r="I964" i="3"/>
  <c r="I151" i="3"/>
  <c r="I722" i="3"/>
  <c r="I495" i="3"/>
  <c r="I869" i="3"/>
  <c r="I5" i="4"/>
  <c r="I482" i="3"/>
  <c r="I62" i="3"/>
  <c r="I627" i="3"/>
  <c r="I881" i="3"/>
  <c r="I212" i="3"/>
  <c r="I944" i="3"/>
  <c r="I11" i="3"/>
  <c r="I301" i="3"/>
  <c r="I377" i="3"/>
  <c r="I163" i="3"/>
  <c r="I724" i="3"/>
  <c r="I33" i="3"/>
  <c r="I786" i="3"/>
  <c r="I831" i="3"/>
  <c r="I397" i="3"/>
  <c r="I981" i="3"/>
  <c r="I5" i="3"/>
  <c r="I532" i="3"/>
  <c r="I422" i="3"/>
  <c r="I289" i="3"/>
  <c r="I567" i="3"/>
  <c r="I168" i="3"/>
  <c r="I330" i="3"/>
  <c r="I191" i="3"/>
  <c r="I728" i="3"/>
  <c r="I463" i="3"/>
  <c r="I916" i="3"/>
  <c r="I518" i="3"/>
  <c r="I247" i="3"/>
  <c r="I832" i="3"/>
  <c r="I51" i="3"/>
  <c r="I749" i="3"/>
  <c r="I851" i="3"/>
  <c r="I937" i="3"/>
  <c r="I346" i="3"/>
  <c r="I445" i="3"/>
  <c r="I592" i="3"/>
  <c r="I88" i="3"/>
  <c r="I657" i="3"/>
  <c r="I317" i="3"/>
  <c r="I291" i="3"/>
  <c r="I922" i="3"/>
  <c r="I6" i="3"/>
  <c r="I660" i="3"/>
  <c r="I82" i="3"/>
  <c r="I143" i="3"/>
  <c r="I30" i="3"/>
  <c r="I894" i="3"/>
  <c r="I897" i="3"/>
  <c r="I882" i="3"/>
  <c r="I15" i="5"/>
  <c r="I658" i="3"/>
  <c r="I313" i="3"/>
  <c r="I136" i="3"/>
  <c r="I20" i="5"/>
  <c r="I29" i="5"/>
  <c r="I9" i="5"/>
  <c r="I321" i="4"/>
  <c r="I53" i="4"/>
  <c r="I44" i="3"/>
  <c r="I24" i="4"/>
  <c r="I6" i="4"/>
  <c r="I243" i="3"/>
  <c r="I236" i="4"/>
  <c r="I142" i="4"/>
  <c r="I63" i="4"/>
  <c r="I159" i="4"/>
  <c r="I248" i="4"/>
  <c r="I297" i="3"/>
  <c r="I349" i="3"/>
  <c r="I748" i="3"/>
  <c r="I220" i="3"/>
  <c r="I20" i="3"/>
  <c r="I336" i="3"/>
  <c r="I424" i="3"/>
  <c r="I492" i="3"/>
  <c r="I513" i="3"/>
  <c r="I799" i="3"/>
  <c r="I373" i="3"/>
  <c r="I653" i="3"/>
  <c r="I489" i="3"/>
  <c r="I701" i="3"/>
  <c r="I779" i="3"/>
  <c r="I585" i="3"/>
  <c r="I841" i="3"/>
  <c r="I914" i="3"/>
  <c r="I34" i="3"/>
  <c r="I294" i="3"/>
  <c r="I331" i="3"/>
  <c r="I283" i="3"/>
  <c r="I86" i="3"/>
  <c r="I811" i="3"/>
  <c r="I609" i="3"/>
  <c r="I931" i="3"/>
  <c r="I519" i="3"/>
  <c r="I172" i="3"/>
  <c r="I103" i="3"/>
  <c r="I594" i="3"/>
  <c r="I410" i="3"/>
  <c r="I599" i="3"/>
  <c r="I402" i="3"/>
  <c r="I80" i="3"/>
  <c r="I22" i="3"/>
  <c r="I663" i="3"/>
  <c r="I571" i="3"/>
  <c r="I460" i="3"/>
  <c r="I677" i="3"/>
  <c r="I352" i="3"/>
  <c r="I619" i="3"/>
  <c r="I295" i="3"/>
  <c r="I342" i="3"/>
  <c r="I638" i="3"/>
  <c r="I675" i="3"/>
  <c r="I459" i="3"/>
  <c r="I706" i="3"/>
  <c r="I613" i="3"/>
  <c r="I146" i="3"/>
  <c r="I684" i="3"/>
  <c r="I432" i="3"/>
  <c r="I158" i="3"/>
  <c r="I747" i="3"/>
  <c r="I515" i="3"/>
  <c r="I270" i="3"/>
  <c r="I167" i="3"/>
  <c r="I177" i="3"/>
  <c r="I864" i="3"/>
  <c r="I775" i="3"/>
  <c r="I240" i="3"/>
  <c r="I368" i="3"/>
  <c r="I16" i="5"/>
  <c r="I26" i="5"/>
  <c r="I21" i="5"/>
  <c r="I322" i="4"/>
  <c r="I49" i="4"/>
  <c r="I456" i="3"/>
  <c r="I246" i="3"/>
  <c r="I788" i="3"/>
  <c r="I159" i="3"/>
  <c r="I468" i="3"/>
  <c r="I902" i="3"/>
  <c r="I710" i="3"/>
  <c r="I829" i="3"/>
  <c r="I508" i="3"/>
  <c r="I449" i="3"/>
  <c r="I969" i="3"/>
  <c r="I398" i="3"/>
  <c r="I411" i="3"/>
  <c r="I230" i="3"/>
  <c r="I329" i="3"/>
  <c r="I161" i="3"/>
  <c r="I187" i="3"/>
  <c r="I123" i="3"/>
  <c r="I166" i="3"/>
  <c r="I840" i="3"/>
  <c r="I665" i="3"/>
  <c r="I975" i="3"/>
  <c r="I91" i="3"/>
  <c r="I124" i="3"/>
  <c r="I630" i="3"/>
  <c r="I852" i="3"/>
  <c r="I233" i="3"/>
  <c r="I607" i="3"/>
  <c r="I913" i="3"/>
  <c r="I578" i="3"/>
  <c r="I131" i="3"/>
  <c r="I743" i="3"/>
  <c r="I690" i="3"/>
  <c r="I591" i="3"/>
  <c r="I48" i="3"/>
  <c r="I539" i="3"/>
  <c r="I541" i="3"/>
  <c r="I423" i="3"/>
  <c r="I800" i="3"/>
  <c r="I863" i="3"/>
  <c r="I948" i="3"/>
  <c r="I65" i="3"/>
  <c r="I876" i="3"/>
  <c r="I231" i="3"/>
  <c r="I216" i="3"/>
  <c r="I235" i="3"/>
  <c r="I494" i="3"/>
  <c r="I174" i="3"/>
  <c r="I709" i="3"/>
  <c r="I740" i="3"/>
  <c r="I188" i="3"/>
  <c r="I946" i="3"/>
  <c r="I439" i="3"/>
  <c r="I470" i="3"/>
  <c r="I315" i="3"/>
  <c r="I797" i="3"/>
  <c r="I859" i="3"/>
  <c r="I8" i="3"/>
  <c r="I873" i="3"/>
  <c r="I497" i="3"/>
  <c r="I927" i="3"/>
  <c r="I45" i="5"/>
  <c r="I46" i="5"/>
  <c r="I39" i="5"/>
  <c r="I33" i="5"/>
  <c r="I704" i="3"/>
  <c r="I246" i="4"/>
  <c r="I110" i="3"/>
  <c r="I438" i="3"/>
  <c r="I33" i="4"/>
  <c r="I218" i="4"/>
  <c r="I146" i="4"/>
  <c r="I304" i="4"/>
  <c r="I4" i="4"/>
  <c r="I239" i="4"/>
  <c r="I167" i="4"/>
  <c r="I282" i="4"/>
  <c r="I430" i="3"/>
  <c r="I45" i="4"/>
  <c r="I437" i="3"/>
  <c r="I137" i="4"/>
  <c r="I412" i="3"/>
  <c r="I544" i="3"/>
  <c r="I507" i="3"/>
  <c r="I332" i="3"/>
  <c r="I773" i="3"/>
  <c r="I328" i="3"/>
  <c r="I543" i="3"/>
  <c r="I53" i="3"/>
  <c r="I720" i="3"/>
  <c r="I847" i="3"/>
  <c r="I74" i="3"/>
  <c r="I434" i="3"/>
  <c r="I955" i="3"/>
  <c r="I598" i="3"/>
  <c r="I467" i="3"/>
  <c r="I369" i="3"/>
  <c r="I960" i="3"/>
  <c r="I138" i="3"/>
  <c r="I306" i="3"/>
  <c r="I516" i="3"/>
  <c r="I621" i="3"/>
  <c r="I179" i="3"/>
  <c r="I689" i="3"/>
  <c r="I540" i="3"/>
  <c r="I118" i="3"/>
  <c r="I682" i="3"/>
  <c r="I838" i="3"/>
  <c r="I344" i="3"/>
  <c r="I833" i="3"/>
  <c r="I526" i="3"/>
  <c r="I809" i="3"/>
  <c r="I76" i="3"/>
  <c r="I498" i="3"/>
  <c r="I504" i="3"/>
  <c r="I979" i="3"/>
  <c r="I113" i="3"/>
  <c r="I804" i="3"/>
  <c r="I117" i="3"/>
  <c r="I586" i="3"/>
  <c r="I326" i="3"/>
  <c r="I465" i="3"/>
  <c r="I576" i="3"/>
  <c r="I745" i="3"/>
  <c r="I262" i="3"/>
  <c r="I987" i="3"/>
  <c r="I935" i="3"/>
  <c r="I383" i="3"/>
  <c r="I171" i="3"/>
  <c r="I857" i="3"/>
  <c r="I491" i="3"/>
  <c r="I264" i="3"/>
  <c r="I644" i="3"/>
  <c r="I814" i="3"/>
  <c r="I483" i="3"/>
  <c r="I446" i="3"/>
  <c r="I164" i="3"/>
  <c r="I448" i="3"/>
  <c r="I62" i="5"/>
  <c r="I40" i="5"/>
  <c r="I63" i="5"/>
  <c r="I205" i="4"/>
  <c r="I683" i="3"/>
  <c r="I243" i="4"/>
  <c r="I871" i="3"/>
  <c r="I58" i="3"/>
  <c r="I258" i="3"/>
  <c r="I985" i="3"/>
  <c r="I823" i="3"/>
  <c r="I250" i="3"/>
  <c r="I605" i="3"/>
  <c r="I802" i="3"/>
  <c r="I392" i="3"/>
  <c r="I643" i="3"/>
  <c r="I211" i="3"/>
  <c r="I399" i="3"/>
  <c r="I958" i="3"/>
  <c r="I856" i="3"/>
  <c r="I726" i="3"/>
  <c r="I127" i="3"/>
  <c r="I96" i="3"/>
  <c r="I64" i="3"/>
  <c r="I428" i="3"/>
  <c r="I310" i="3"/>
  <c r="I895" i="3"/>
  <c r="I420" i="3"/>
  <c r="I298" i="3"/>
  <c r="I974" i="3"/>
  <c r="I924" i="3"/>
  <c r="I85" i="3"/>
  <c r="I536" i="3"/>
  <c r="I940" i="3"/>
  <c r="I27" i="3"/>
  <c r="I933" i="3"/>
  <c r="I714" i="3"/>
  <c r="I55" i="3"/>
  <c r="I587" i="3"/>
  <c r="I503" i="3"/>
  <c r="I443" i="3"/>
  <c r="I134" i="3"/>
  <c r="I357" i="3"/>
  <c r="I105" i="3"/>
  <c r="I379" i="3"/>
  <c r="I16" i="3"/>
  <c r="I624" i="3"/>
  <c r="I217" i="3"/>
  <c r="I970" i="3"/>
  <c r="I189" i="3"/>
  <c r="I484" i="3"/>
  <c r="I757" i="3"/>
  <c r="I92" i="3"/>
  <c r="I758" i="3"/>
  <c r="I358" i="3"/>
  <c r="I224" i="3"/>
  <c r="I42" i="3"/>
  <c r="I56" i="3"/>
  <c r="I628" i="3"/>
  <c r="I837" i="3"/>
  <c r="I61" i="5"/>
  <c r="I563" i="3"/>
  <c r="I474" i="3"/>
  <c r="I38" i="5"/>
  <c r="I30" i="5"/>
  <c r="I42" i="5"/>
  <c r="I165" i="3"/>
  <c r="I219" i="4"/>
  <c r="I268" i="4"/>
  <c r="I12" i="4"/>
  <c r="I824" i="3"/>
  <c r="I270" i="4"/>
  <c r="I214" i="4"/>
  <c r="I26" i="4"/>
  <c r="I296" i="4"/>
  <c r="I228" i="3"/>
  <c r="I362" i="3"/>
  <c r="I454" i="3"/>
  <c r="I866" i="3"/>
  <c r="I691" i="3"/>
  <c r="I490" i="3"/>
  <c r="I600" i="3"/>
  <c r="I538" i="3"/>
  <c r="I382" i="3"/>
  <c r="I953" i="3"/>
  <c r="I77" i="3"/>
  <c r="I429" i="3"/>
  <c r="I236" i="3"/>
  <c r="I926" i="3"/>
  <c r="I440" i="3"/>
  <c r="I854" i="3"/>
  <c r="I616" i="3"/>
  <c r="I805" i="3"/>
  <c r="I261" i="3"/>
  <c r="I886" i="3"/>
  <c r="I182" i="3"/>
  <c r="I930" i="3"/>
  <c r="I359" i="3"/>
  <c r="I479" i="3"/>
  <c r="I405" i="3"/>
  <c r="I976" i="3"/>
  <c r="I19" i="3"/>
  <c r="I606" i="3"/>
  <c r="I321" i="3"/>
  <c r="I350" i="3"/>
  <c r="I102" i="3"/>
  <c r="I796" i="3"/>
  <c r="I120" i="3"/>
  <c r="I614" i="3"/>
  <c r="I708" i="3"/>
  <c r="I860" i="3"/>
  <c r="I83" i="3"/>
  <c r="I284" i="3"/>
  <c r="I610" i="3"/>
  <c r="I650" i="3"/>
  <c r="I622" i="3"/>
  <c r="I874" i="3"/>
  <c r="I615" i="3"/>
  <c r="I617" i="3"/>
  <c r="I472" i="3"/>
  <c r="I348" i="3"/>
  <c r="I406" i="3"/>
  <c r="I514" i="3"/>
  <c r="I133" i="3"/>
  <c r="I900" i="3"/>
  <c r="I451" i="3"/>
  <c r="I207" i="3"/>
  <c r="I248" i="3"/>
  <c r="I626" i="3"/>
  <c r="I147" i="3"/>
  <c r="I18" i="3"/>
  <c r="I499" i="3"/>
  <c r="I242" i="3"/>
  <c r="I41" i="5"/>
  <c r="I462" i="3"/>
  <c r="I939" i="3"/>
  <c r="I35" i="5"/>
  <c r="I14" i="5"/>
  <c r="I17" i="5"/>
  <c r="I60" i="3"/>
  <c r="I46" i="4"/>
  <c r="I896" i="3"/>
  <c r="I718" i="3"/>
  <c r="I608" i="3"/>
  <c r="I844" i="3"/>
  <c r="I35" i="3"/>
  <c r="I353" i="3"/>
  <c r="I257" i="3"/>
  <c r="I517" i="3"/>
  <c r="I416" i="3"/>
  <c r="I433" i="3"/>
  <c r="I26" i="3"/>
  <c r="I192" i="3"/>
  <c r="I505" i="3"/>
  <c r="I806" i="3"/>
  <c r="I418" i="3"/>
  <c r="I324" i="3"/>
  <c r="I941" i="3"/>
  <c r="I813" i="3"/>
  <c r="I245" i="3"/>
  <c r="I733" i="3"/>
  <c r="I861" i="3"/>
  <c r="I200" i="3"/>
  <c r="I334" i="3"/>
  <c r="I471" i="3"/>
  <c r="I148" i="3"/>
  <c r="I595" i="3"/>
  <c r="I848" i="3"/>
  <c r="I213" i="3"/>
  <c r="I36" i="3"/>
  <c r="I560" i="3"/>
  <c r="I141" i="3"/>
  <c r="I862" i="3"/>
  <c r="I272" i="3"/>
  <c r="I338" i="3"/>
  <c r="I401" i="3"/>
  <c r="I501" i="3"/>
  <c r="I400" i="3"/>
  <c r="I766" i="3"/>
  <c r="I765" i="3"/>
  <c r="I333" i="3"/>
  <c r="I647" i="3"/>
  <c r="I822" i="3"/>
  <c r="I566" i="3"/>
  <c r="I834" i="3"/>
  <c r="I839" i="3"/>
  <c r="I525" i="3"/>
  <c r="I892" i="3"/>
  <c r="I883" i="3"/>
  <c r="I934" i="3"/>
  <c r="I651" i="3"/>
  <c r="I781" i="3"/>
  <c r="I480" i="3"/>
  <c r="I149" i="3"/>
  <c r="I24" i="5"/>
  <c r="I64" i="5"/>
  <c r="I767" i="3"/>
  <c r="I367" i="3"/>
  <c r="I27" i="5"/>
  <c r="I11" i="5"/>
  <c r="I7" i="5"/>
  <c r="I276" i="4"/>
  <c r="I86" i="4"/>
  <c r="I190" i="4"/>
  <c r="I76" i="4"/>
  <c r="I247" i="4"/>
  <c r="I98" i="4"/>
  <c r="I161" i="4"/>
  <c r="I11" i="4"/>
  <c r="I70" i="4"/>
  <c r="I250" i="4"/>
  <c r="I184" i="4"/>
  <c r="I275" i="4"/>
  <c r="I91" i="4"/>
  <c r="I314" i="4"/>
  <c r="I183" i="4"/>
  <c r="I266" i="3"/>
  <c r="I30" i="4"/>
  <c r="I182" i="4"/>
  <c r="I208" i="4"/>
  <c r="I64" i="4"/>
  <c r="I959" i="3"/>
  <c r="I15" i="4"/>
  <c r="I769" i="3"/>
  <c r="I821" i="3"/>
  <c r="I548" i="3"/>
  <c r="I785" i="3"/>
  <c r="I697" i="3"/>
  <c r="I853" i="3"/>
  <c r="I176" i="3"/>
  <c r="I10" i="3"/>
  <c r="I115" i="3"/>
  <c r="I109" i="3"/>
  <c r="I214" i="3"/>
  <c r="I181" i="3"/>
  <c r="I24" i="3"/>
  <c r="I478" i="3"/>
  <c r="I553" i="3"/>
  <c r="I119" i="3"/>
  <c r="I364" i="3"/>
  <c r="I29" i="3"/>
  <c r="I698" i="3"/>
  <c r="I793" i="3"/>
  <c r="I880" i="3"/>
  <c r="I645" i="3"/>
  <c r="I646" i="3"/>
  <c r="I345" i="3"/>
  <c r="I493" i="3"/>
  <c r="I101" i="3"/>
  <c r="I561" i="3"/>
  <c r="I318" i="3"/>
  <c r="I803" i="3"/>
  <c r="I61" i="3"/>
  <c r="I692" i="3"/>
  <c r="I374" i="3"/>
  <c r="I73" i="3"/>
  <c r="I130" i="3"/>
  <c r="I122" i="3"/>
  <c r="I790" i="3"/>
  <c r="I316" i="3"/>
  <c r="I928" i="3"/>
  <c r="I736" i="3"/>
  <c r="I723" i="3"/>
  <c r="I95" i="3"/>
  <c r="I238" i="3"/>
  <c r="I173" i="3"/>
  <c r="I956" i="3"/>
  <c r="I54" i="3"/>
  <c r="I601" i="3"/>
  <c r="I980" i="3"/>
  <c r="I431" i="3"/>
  <c r="I254" i="3"/>
  <c r="I28" i="3"/>
  <c r="I649" i="3"/>
  <c r="I132" i="3"/>
  <c r="I533" i="3"/>
  <c r="I116" i="3"/>
  <c r="I798" i="3"/>
  <c r="I31" i="5"/>
  <c r="I475" i="3"/>
  <c r="I234" i="3"/>
  <c r="I87" i="3"/>
  <c r="I52" i="5"/>
  <c r="I5" i="5"/>
  <c r="I51" i="5"/>
  <c r="I278" i="4"/>
  <c r="I425" i="3"/>
  <c r="I93" i="4"/>
  <c r="I582" i="3"/>
  <c r="I225" i="4"/>
  <c r="I794" i="3"/>
  <c r="I849" i="3"/>
  <c r="I696" i="3"/>
  <c r="I742" i="3"/>
  <c r="I347" i="3"/>
  <c r="I371" i="3"/>
  <c r="I680" i="3"/>
  <c r="I573" i="3"/>
  <c r="I664" i="3"/>
  <c r="I879" i="3"/>
  <c r="I67" i="3"/>
  <c r="I75" i="3"/>
  <c r="I17" i="3"/>
  <c r="I846" i="3"/>
  <c r="I668" i="3"/>
  <c r="I376" i="3"/>
  <c r="I911" i="3"/>
  <c r="I380" i="3"/>
  <c r="I631" i="3"/>
  <c r="I79" i="3"/>
  <c r="I729" i="3"/>
  <c r="I564" i="3"/>
  <c r="I356" i="3"/>
  <c r="I810" i="3"/>
  <c r="I971" i="3"/>
  <c r="I31" i="3"/>
  <c r="I593" i="3"/>
  <c r="I323" i="3"/>
  <c r="I817" i="3"/>
  <c r="I152" i="3"/>
  <c r="I341" i="3"/>
  <c r="I15" i="3"/>
  <c r="I208" i="3"/>
  <c r="I520" i="3"/>
  <c r="I510" i="3"/>
  <c r="I590" i="3"/>
  <c r="I290" i="3"/>
  <c r="I534" i="3"/>
  <c r="I792" i="3"/>
  <c r="I40" i="3"/>
  <c r="I908" i="3"/>
  <c r="I278" i="3"/>
  <c r="I634" i="3"/>
  <c r="I285" i="3"/>
  <c r="I180" i="3"/>
  <c r="I904" i="3"/>
  <c r="I884" i="3"/>
  <c r="I407" i="3"/>
  <c r="I205" i="3"/>
  <c r="I629" i="3"/>
  <c r="I222" i="3"/>
  <c r="I157" i="3"/>
  <c r="I947" i="3"/>
  <c r="I44" i="5"/>
  <c r="I293" i="3"/>
  <c r="I764" i="3"/>
  <c r="I3" i="5"/>
  <c r="I49" i="5"/>
  <c r="I55" i="5"/>
  <c r="I315" i="4"/>
  <c r="I409" i="3"/>
  <c r="I220" i="4"/>
  <c r="I68" i="3"/>
  <c r="I442" i="3"/>
  <c r="I215" i="3"/>
  <c r="I500" i="3"/>
  <c r="I531" i="3"/>
  <c r="I227" i="3"/>
  <c r="I945" i="3"/>
  <c r="I63" i="3"/>
  <c r="I655" i="3"/>
  <c r="I414" i="3"/>
  <c r="I640" i="3"/>
  <c r="I13" i="3"/>
  <c r="I770" i="3"/>
  <c r="I920" i="3"/>
  <c r="I738" i="3"/>
  <c r="I962" i="3"/>
  <c r="I570" i="3"/>
  <c r="I603" i="3"/>
  <c r="I184" i="3"/>
  <c r="I967" i="3"/>
  <c r="I716" i="3"/>
  <c r="I107" i="3"/>
  <c r="I527" i="3"/>
  <c r="I21" i="3"/>
  <c r="I889" i="3"/>
  <c r="I404" i="3"/>
  <c r="I337" i="3"/>
  <c r="I632" i="3"/>
  <c r="I204" i="3"/>
  <c r="I611" i="3"/>
  <c r="I562" i="3"/>
  <c r="I910" i="3"/>
  <c r="I340" i="3"/>
  <c r="I568" i="3"/>
  <c r="I145" i="3"/>
  <c r="I763" i="3"/>
  <c r="I808" i="3"/>
  <c r="I754" i="3"/>
  <c r="I711" i="3"/>
  <c r="I905" i="3"/>
  <c r="I391" i="3"/>
  <c r="I685" i="3"/>
  <c r="I196" i="3"/>
  <c r="I674" i="3"/>
  <c r="I129" i="3"/>
  <c r="I637" i="3"/>
  <c r="I452" i="3"/>
  <c r="I929" i="3"/>
  <c r="I687" i="3"/>
  <c r="I951" i="3"/>
  <c r="I730" i="3"/>
  <c r="I408" i="3"/>
  <c r="I787" i="3"/>
  <c r="I636" i="3"/>
  <c r="I744" i="3"/>
  <c r="I693" i="3"/>
  <c r="I48" i="5"/>
  <c r="I60" i="5"/>
  <c r="I50" i="5"/>
  <c r="I317" i="4"/>
  <c r="I126" i="3"/>
  <c r="I62" i="4"/>
  <c r="I136" i="4"/>
  <c r="I156" i="4"/>
  <c r="I168" i="4"/>
  <c r="I126" i="4"/>
  <c r="I111" i="4"/>
  <c r="I77" i="4"/>
  <c r="I737" i="3"/>
  <c r="I306" i="4"/>
  <c r="I90" i="4"/>
  <c r="I138" i="4"/>
  <c r="I85" i="4"/>
  <c r="I551" i="3"/>
  <c r="I812" i="3"/>
  <c r="I458" i="3"/>
  <c r="I713" i="3"/>
  <c r="I203" i="3"/>
  <c r="I473" i="3"/>
  <c r="I753" i="3"/>
  <c r="I654" i="3"/>
  <c r="I150" i="3"/>
  <c r="I223" i="3"/>
  <c r="I185" i="3"/>
  <c r="I169" i="3"/>
  <c r="I477" i="3"/>
  <c r="I386" i="3"/>
  <c r="I887" i="3"/>
  <c r="I746" i="3"/>
  <c r="I950" i="3"/>
  <c r="I81" i="3"/>
  <c r="I907" i="3"/>
  <c r="I694" i="3"/>
  <c r="I139" i="3"/>
  <c r="I274" i="3"/>
  <c r="I396" i="3"/>
  <c r="I580" i="3"/>
  <c r="I232" i="3"/>
  <c r="I918" i="3"/>
  <c r="I552" i="3"/>
  <c r="I299" i="3"/>
  <c r="I175" i="3"/>
  <c r="I688" i="3"/>
  <c r="I667" i="3"/>
  <c r="I12" i="3"/>
  <c r="I375" i="3"/>
  <c r="I774" i="3"/>
  <c r="I731" i="3"/>
  <c r="I125" i="3"/>
  <c r="I968" i="3"/>
  <c r="I642" i="3"/>
  <c r="I52" i="3"/>
  <c r="I59" i="3"/>
  <c r="I381" i="3"/>
  <c r="I659" i="3"/>
  <c r="I656" i="3"/>
  <c r="I818" i="3"/>
  <c r="I648" i="3"/>
  <c r="I277" i="3"/>
  <c r="I271" i="3"/>
  <c r="I98" i="3"/>
  <c r="I819" i="3"/>
  <c r="I843" i="3"/>
  <c r="I574" i="3"/>
  <c r="I589" i="3"/>
  <c r="I160" i="3"/>
  <c r="I755" i="3"/>
  <c r="I419" i="3"/>
  <c r="I221" i="3"/>
  <c r="I186" i="3"/>
  <c r="I43" i="5"/>
  <c r="I915" i="3"/>
  <c r="I836" i="3"/>
  <c r="I58" i="5"/>
  <c r="I4" i="5"/>
  <c r="I1" i="1" l="1"/>
  <c r="F1" i="1"/>
  <c r="F1" i="5"/>
  <c r="F1" i="4"/>
  <c r="F1" i="3"/>
</calcChain>
</file>

<file path=xl/sharedStrings.xml><?xml version="1.0" encoding="utf-8"?>
<sst xmlns="http://schemas.openxmlformats.org/spreadsheetml/2006/main" count="3511" uniqueCount="2950">
  <si>
    <t>確認2
追加1</t>
    <rPh sb="0" eb="2">
      <t>カクニn</t>
    </rPh>
    <rPh sb="4" eb="6">
      <t>ツイカ</t>
    </rPh>
    <phoneticPr fontId="1"/>
  </si>
  <si>
    <t>区分</t>
    <rPh sb="0" eb="2">
      <t>クブn</t>
    </rPh>
    <phoneticPr fontId="1"/>
  </si>
  <si>
    <t>列1</t>
  </si>
  <si>
    <t>Tr or Fa</t>
    <phoneticPr fontId="1"/>
  </si>
  <si>
    <t>answer</t>
  </si>
  <si>
    <t>question</t>
  </si>
  <si>
    <t>URL</t>
  </si>
  <si>
    <t>next day</t>
    <phoneticPr fontId="1"/>
  </si>
  <si>
    <t>deadline</t>
    <phoneticPr fontId="1"/>
  </si>
  <si>
    <t>No</t>
    <phoneticPr fontId="1"/>
  </si>
  <si>
    <t>菩提</t>
  </si>
  <si>
    <t>亡き夫のボダイを弔う。</t>
  </si>
  <si>
    <t>牡蠣・蠣</t>
  </si>
  <si>
    <t>生のカキは食べられない。</t>
  </si>
  <si>
    <t>軟膏</t>
  </si>
  <si>
    <t>乾燥する肌にナンコウを塗る。</t>
  </si>
  <si>
    <t>補塡</t>
  </si>
  <si>
    <t>赤字の一部をホテンする。</t>
  </si>
  <si>
    <t xml:space="preserve">編纂 </t>
  </si>
  <si>
    <t>辞典をヘンサンする。</t>
  </si>
  <si>
    <t>嵩</t>
  </si>
  <si>
    <t>今月は出費がカサむ。</t>
  </si>
  <si>
    <t>暗渠</t>
  </si>
  <si>
    <t>アンキョ排水の工事をする。</t>
  </si>
  <si>
    <t>湛</t>
  </si>
  <si>
    <t>満面の笑みをタタえる。</t>
  </si>
  <si>
    <t>膏血</t>
  </si>
  <si>
    <t>庶民のコウケツを絞る。</t>
  </si>
  <si>
    <t>螺旋</t>
  </si>
  <si>
    <t>ラセン階段をのぼる。</t>
  </si>
  <si>
    <t>啞然</t>
  </si>
  <si>
    <t>あまりのできの悪さにアゼンとする。</t>
  </si>
  <si>
    <t>凌</t>
  </si>
  <si>
    <t>水を飲んで飢えをシノぐ。</t>
  </si>
  <si>
    <t>漏洩（漏泄）</t>
  </si>
  <si>
    <t>機密情報がロウエイしてしまった。</t>
  </si>
  <si>
    <t>こす</t>
    <phoneticPr fontId="1"/>
  </si>
  <si>
    <t>ブラシで擦って汚れを落とす。</t>
  </si>
  <si>
    <t>くだり</t>
    <phoneticPr fontId="1"/>
  </si>
  <si>
    <t>その件が非常に面白かった。</t>
  </si>
  <si>
    <t>くつろ</t>
    <phoneticPr fontId="1"/>
  </si>
  <si>
    <t>部屋で寛いでいる。</t>
  </si>
  <si>
    <t>さや</t>
    <phoneticPr fontId="1"/>
  </si>
  <si>
    <t>月が清かに輝く。</t>
  </si>
  <si>
    <t>そそ、すす</t>
    <phoneticPr fontId="1"/>
  </si>
  <si>
    <t>賊軍の汚名を雪ぐ。</t>
  </si>
  <si>
    <t>あば</t>
  </si>
  <si>
    <t>彼の悪事を発いた。</t>
  </si>
  <si>
    <t>へりくだ</t>
    <phoneticPr fontId="1"/>
  </si>
  <si>
    <t>謙った物言いだった。</t>
  </si>
  <si>
    <t>のり</t>
    <phoneticPr fontId="1"/>
  </si>
  <si>
    <t>自分の憲を守る。</t>
  </si>
  <si>
    <t>つづま</t>
    <phoneticPr fontId="1"/>
  </si>
  <si>
    <t>倹やかな生活を送る。</t>
  </si>
  <si>
    <t>おび</t>
    <phoneticPr fontId="1"/>
  </si>
  <si>
    <t>犯人を誘き出す。</t>
  </si>
  <si>
    <t>つい</t>
    <phoneticPr fontId="1"/>
  </si>
  <si>
    <t>序でに寄る。</t>
  </si>
  <si>
    <t>ただ</t>
    <phoneticPr fontId="1"/>
  </si>
  <si>
    <t>悪いところを規す。</t>
  </si>
  <si>
    <t>ふ</t>
    <phoneticPr fontId="1"/>
  </si>
  <si>
    <t>さつまいもを蒸かす。</t>
  </si>
  <si>
    <t>いとけな</t>
    <phoneticPr fontId="1"/>
  </si>
  <si>
    <t>幼い子供を連れている。</t>
  </si>
  <si>
    <t>つがい</t>
    <phoneticPr fontId="1"/>
  </si>
  <si>
    <t>番の鴛鴦(おしどり)を見た。</t>
  </si>
  <si>
    <t>すべ</t>
    <phoneticPr fontId="1"/>
  </si>
  <si>
    <t>都て片付けた。</t>
  </si>
  <si>
    <t>ぬめ</t>
    <phoneticPr fontId="1"/>
  </si>
  <si>
    <t>表面の滑りをとる。</t>
  </si>
  <si>
    <t>遜った気持ちを表す。</t>
  </si>
  <si>
    <t>うら</t>
    <phoneticPr fontId="1"/>
  </si>
  <si>
    <t>憾むらくは食事がおいしくない。</t>
  </si>
  <si>
    <t>うれ</t>
    <phoneticPr fontId="1"/>
  </si>
  <si>
    <t>現在の状況を戚える。</t>
  </si>
  <si>
    <t>がな</t>
    <phoneticPr fontId="1"/>
  </si>
  <si>
    <t>作品全体にもの哀しい雰囲気がある。</t>
  </si>
  <si>
    <t>つつ</t>
    <phoneticPr fontId="1"/>
  </si>
  <si>
    <t>捧げ銃とは敬礼の一種である。</t>
  </si>
  <si>
    <t>そ</t>
    <phoneticPr fontId="1"/>
  </si>
  <si>
    <t>逸れた話を戻す。</t>
  </si>
  <si>
    <t>はなぶさ</t>
    <phoneticPr fontId="1"/>
  </si>
  <si>
    <t>美しい藤の英を写真に収める。</t>
  </si>
  <si>
    <t>おぼ</t>
    <phoneticPr fontId="1"/>
  </si>
  <si>
    <t>将軍様の思し召しだ。</t>
  </si>
  <si>
    <t>ほぼ</t>
    <phoneticPr fontId="1"/>
  </si>
  <si>
    <t>略合っているだろう。</t>
  </si>
  <si>
    <t>かざ</t>
    <phoneticPr fontId="1"/>
  </si>
  <si>
    <t>過ちを文る。</t>
  </si>
  <si>
    <t>のこ</t>
    <phoneticPr fontId="1"/>
  </si>
  <si>
    <t>子孫に財産を遺す。</t>
  </si>
  <si>
    <t>ことほ</t>
    <phoneticPr fontId="1"/>
  </si>
  <si>
    <t>新春を寿ぐ。</t>
  </si>
  <si>
    <t>こま</t>
    <phoneticPr fontId="1"/>
  </si>
  <si>
    <t>濃やかな愛情をそそぐ。</t>
  </si>
  <si>
    <t>あげつら</t>
    <phoneticPr fontId="1"/>
  </si>
  <si>
    <t>発言を一々論う人がいる。</t>
  </si>
  <si>
    <t>ため</t>
    <phoneticPr fontId="1"/>
  </si>
  <si>
    <t>練習の成果を験す。</t>
  </si>
  <si>
    <t>いざな</t>
    <phoneticPr fontId="1"/>
  </si>
  <si>
    <t>心地よい眠りに誘う。</t>
  </si>
  <si>
    <t>つか</t>
    <phoneticPr fontId="1"/>
  </si>
  <si>
    <t>支えてしまって中に入らない。</t>
  </si>
  <si>
    <t>相手の嘘を劾く。</t>
  </si>
  <si>
    <t>もち</t>
  </si>
  <si>
    <t>安禅は必ずしも山水を須いず。</t>
  </si>
  <si>
    <t>おだ</t>
  </si>
  <si>
    <t>話し合いは妥やかに進んだ。</t>
  </si>
  <si>
    <t>そこな</t>
  </si>
  <si>
    <t>相手の気持ちを害う結果となった。</t>
  </si>
  <si>
    <t>そもそも</t>
  </si>
  <si>
    <t>抑彼が言い出したことだ。</t>
  </si>
  <si>
    <t>おか、くが</t>
  </si>
  <si>
    <t>ウミガメが陸に上がる。</t>
  </si>
  <si>
    <t>そよ</t>
  </si>
  <si>
    <t>草木が風に戦ぐ。</t>
  </si>
  <si>
    <t>]</t>
  </si>
  <si>
    <t>あやか</t>
  </si>
  <si>
    <t>彼らの人気に肖りたい。</t>
  </si>
  <si>
    <t>ひき</t>
  </si>
  <si>
    <t>数人を帥いて参上した。</t>
  </si>
  <si>
    <t>すく</t>
  </si>
  <si>
    <t>世を済うことになるかもしれない。</t>
  </si>
  <si>
    <t>おこ</t>
  </si>
  <si>
    <t>痴がましいことを言う。</t>
  </si>
  <si>
    <t>つま</t>
  </si>
  <si>
    <t>糸の先を撮む。</t>
  </si>
  <si>
    <t>あなど</t>
  </si>
  <si>
    <t>瀆るような真似はしない。</t>
  </si>
  <si>
    <t>つつみ</t>
  </si>
  <si>
    <t>塘を自転車で走る。</t>
  </si>
  <si>
    <t>しばしば</t>
  </si>
  <si>
    <t>屢この美術館に訪れる。</t>
  </si>
  <si>
    <t>くりや</t>
  </si>
  <si>
    <t>厨から料理を運ぶ。</t>
  </si>
  <si>
    <t>はかる</t>
  </si>
  <si>
    <t>事の成就を猷る。</t>
  </si>
  <si>
    <t>あがな</t>
  </si>
  <si>
    <t>書籍を購う。</t>
  </si>
  <si>
    <t>めもり</t>
  </si>
  <si>
    <t>体温計の度を読む。</t>
  </si>
  <si>
    <t>お</t>
  </si>
  <si>
    <t>ひとまず措いておく。</t>
  </si>
  <si>
    <t>はべ</t>
  </si>
  <si>
    <t>王の側に侍る。</t>
  </si>
  <si>
    <t>もと</t>
  </si>
  <si>
    <t>彼の許を訪ねた。</t>
  </si>
  <si>
    <t>とうと、たっと</t>
  </si>
  <si>
    <t>古くからあるその文化を尚ぶ。</t>
  </si>
  <si>
    <t>はす</t>
  </si>
  <si>
    <t>木材を斜に切る。</t>
  </si>
  <si>
    <t>はつ</t>
  </si>
  <si>
    <t>コンクリートを削る。</t>
  </si>
  <si>
    <t>こぞ</t>
  </si>
  <si>
    <t>観光客が挙って訪れる。</t>
  </si>
  <si>
    <t>まか</t>
  </si>
  <si>
    <t>御挨拶に罷り出る。</t>
  </si>
  <si>
    <t>そぞ、すず</t>
  </si>
  <si>
    <t>市街を漫ろ歩く。</t>
  </si>
  <si>
    <t>そびょう</t>
  </si>
  <si>
    <t>清和源氏の祖廟を訪れた。</t>
  </si>
  <si>
    <t>しゅうぼく</t>
  </si>
  <si>
    <t>両者の輯睦を望む。</t>
  </si>
  <si>
    <t>ただ</t>
  </si>
  <si>
    <t>事件の真相を糾す。</t>
  </si>
  <si>
    <t>すさ</t>
  </si>
  <si>
    <t>筆の遊び。</t>
  </si>
  <si>
    <t>ふうようてきか(てっか)あきしつしつ</t>
  </si>
  <si>
    <t>楓葉荻花秋瑟瑟。</t>
  </si>
  <si>
    <t>なぞら、なずら</t>
  </si>
  <si>
    <t>天体を宝石に准えた。</t>
  </si>
  <si>
    <t>かちょう</t>
    <phoneticPr fontId="1"/>
  </si>
  <si>
    <t>卦兆</t>
    <rPh sb="0" eb="1">
      <t>ケ</t>
    </rPh>
    <rPh sb="1" eb="2">
      <t>チョウ</t>
    </rPh>
    <phoneticPr fontId="1"/>
  </si>
  <si>
    <t>占いで出た形</t>
    <rPh sb="0" eb="1">
      <t>ウラナ</t>
    </rPh>
    <rPh sb="3" eb="4">
      <t>デ</t>
    </rPh>
    <rPh sb="5" eb="6">
      <t>カタチ</t>
    </rPh>
    <phoneticPr fontId="1"/>
  </si>
  <si>
    <t>董す</t>
    <phoneticPr fontId="1"/>
  </si>
  <si>
    <t>かがや</t>
    <phoneticPr fontId="1"/>
  </si>
  <si>
    <t>赫く</t>
    <rPh sb="0" eb="1">
      <t>カク</t>
    </rPh>
    <phoneticPr fontId="1"/>
  </si>
  <si>
    <t>ぎょぶ</t>
    <phoneticPr fontId="1"/>
  </si>
  <si>
    <t>禦侮</t>
    <rPh sb="1" eb="2">
      <t>アナド</t>
    </rPh>
    <phoneticPr fontId="1"/>
  </si>
  <si>
    <t>侮られないようにする</t>
    <rPh sb="0" eb="1">
      <t>アナド</t>
    </rPh>
    <phoneticPr fontId="1"/>
  </si>
  <si>
    <t>けっかい</t>
    <phoneticPr fontId="1"/>
  </si>
  <si>
    <t>決潰</t>
    <rPh sb="0" eb="1">
      <t>キ</t>
    </rPh>
    <rPh sb="1" eb="2">
      <t>ツブ</t>
    </rPh>
    <phoneticPr fontId="1"/>
  </si>
  <si>
    <t>しと</t>
    <phoneticPr fontId="1"/>
  </si>
  <si>
    <t>淑やかな所作</t>
    <rPh sb="0" eb="1">
      <t>シュク</t>
    </rPh>
    <rPh sb="4" eb="6">
      <t>ショサ</t>
    </rPh>
    <phoneticPr fontId="1"/>
  </si>
  <si>
    <t>まさ</t>
    <phoneticPr fontId="1"/>
  </si>
  <si>
    <t>応に出立すべき</t>
    <rPh sb="0" eb="1">
      <t>オウ</t>
    </rPh>
    <rPh sb="2" eb="4">
      <t>シュッタツ</t>
    </rPh>
    <phoneticPr fontId="1"/>
  </si>
  <si>
    <t>あだ</t>
    <phoneticPr fontId="1"/>
  </si>
  <si>
    <t>恩を徒や厳かにしない</t>
    <rPh sb="0" eb="1">
      <t>オン</t>
    </rPh>
    <rPh sb="2" eb="3">
      <t>アダ</t>
    </rPh>
    <rPh sb="4" eb="5">
      <t>オゴソ</t>
    </rPh>
    <phoneticPr fontId="1"/>
  </si>
  <si>
    <t>ことさら</t>
    <phoneticPr fontId="1"/>
  </si>
  <si>
    <t>故に厳しく</t>
    <rPh sb="0" eb="1">
      <t>ユエ</t>
    </rPh>
    <rPh sb="2" eb="3">
      <t>キビ</t>
    </rPh>
    <phoneticPr fontId="1"/>
  </si>
  <si>
    <t>なり</t>
    <phoneticPr fontId="1"/>
  </si>
  <si>
    <t>彼の形</t>
    <rPh sb="0" eb="1">
      <t>カレ</t>
    </rPh>
    <rPh sb="2" eb="3">
      <t>カタチ</t>
    </rPh>
    <phoneticPr fontId="1"/>
  </si>
  <si>
    <t>うてな</t>
    <phoneticPr fontId="1"/>
  </si>
  <si>
    <t>玉の台</t>
    <rPh sb="0" eb="1">
      <t>タマ</t>
    </rPh>
    <rPh sb="2" eb="3">
      <t>ダイ</t>
    </rPh>
    <phoneticPr fontId="1"/>
  </si>
  <si>
    <t>立派な建物</t>
    <rPh sb="0" eb="2">
      <t>リッパ</t>
    </rPh>
    <rPh sb="3" eb="5">
      <t>タテモノ</t>
    </rPh>
    <phoneticPr fontId="1"/>
  </si>
  <si>
    <t>やもめ</t>
    <phoneticPr fontId="1"/>
  </si>
  <si>
    <t>寡暮らし</t>
    <rPh sb="0" eb="1">
      <t>ヤモメ</t>
    </rPh>
    <rPh sb="1" eb="2">
      <t>ク</t>
    </rPh>
    <phoneticPr fontId="1"/>
  </si>
  <si>
    <t>夫を亡くした女性</t>
    <rPh sb="0" eb="1">
      <t>オット</t>
    </rPh>
    <rPh sb="2" eb="3">
      <t>ナ</t>
    </rPh>
    <rPh sb="6" eb="8">
      <t>ジョセイ</t>
    </rPh>
    <phoneticPr fontId="1"/>
  </si>
  <si>
    <t>そもそも</t>
    <phoneticPr fontId="1"/>
  </si>
  <si>
    <t>抑</t>
    <rPh sb="0" eb="1">
      <t>ヨク</t>
    </rPh>
    <phoneticPr fontId="1"/>
  </si>
  <si>
    <t>したが</t>
    <phoneticPr fontId="1"/>
  </si>
  <si>
    <t>殉う者もいた</t>
    <rPh sb="0" eb="1">
      <t>ジュン</t>
    </rPh>
    <rPh sb="2" eb="3">
      <t>モノ</t>
    </rPh>
    <phoneticPr fontId="1"/>
  </si>
  <si>
    <t>命を投げ出して従う</t>
    <rPh sb="0" eb="1">
      <t>イノチ</t>
    </rPh>
    <rPh sb="2" eb="3">
      <t>ナ</t>
    </rPh>
    <rPh sb="4" eb="5">
      <t>ダ</t>
    </rPh>
    <rPh sb="7" eb="8">
      <t>シタガ</t>
    </rPh>
    <phoneticPr fontId="1"/>
  </si>
  <si>
    <t>いかん</t>
    <phoneticPr fontId="1"/>
  </si>
  <si>
    <t>奈とも仰え難い</t>
    <rPh sb="0" eb="1">
      <t>ナ</t>
    </rPh>
    <rPh sb="3" eb="4">
      <t>オッシャ</t>
    </rPh>
    <rPh sb="5" eb="6">
      <t>ガタ</t>
    </rPh>
    <phoneticPr fontId="1"/>
  </si>
  <si>
    <t>どうにも</t>
    <phoneticPr fontId="1"/>
  </si>
  <si>
    <t>しのざさ</t>
    <phoneticPr fontId="1"/>
  </si>
  <si>
    <t>篠笹</t>
    <rPh sb="0" eb="2">
      <t>シノザサ</t>
    </rPh>
    <phoneticPr fontId="1"/>
  </si>
  <si>
    <t>ども</t>
    <phoneticPr fontId="1"/>
  </si>
  <si>
    <t>吃る</t>
    <phoneticPr fontId="1"/>
  </si>
  <si>
    <t>滑らかにしゃべれない</t>
    <rPh sb="0" eb="1">
      <t>ナメ</t>
    </rPh>
    <phoneticPr fontId="1"/>
  </si>
  <si>
    <t>か</t>
    <phoneticPr fontId="1"/>
  </si>
  <si>
    <t>斯くの如くにしてこれを知る</t>
    <rPh sb="3" eb="4">
      <t>ゴト</t>
    </rPh>
    <rPh sb="11" eb="12">
      <t>シ</t>
    </rPh>
    <phoneticPr fontId="1"/>
  </si>
  <si>
    <t>このように</t>
    <phoneticPr fontId="1"/>
  </si>
  <si>
    <t>とまや</t>
    <phoneticPr fontId="1"/>
  </si>
  <si>
    <t>苫屋</t>
    <rPh sb="0" eb="1">
      <t>トマ</t>
    </rPh>
    <rPh sb="1" eb="2">
      <t>ヤ</t>
    </rPh>
    <phoneticPr fontId="1"/>
  </si>
  <si>
    <t>粗末な家</t>
    <rPh sb="0" eb="2">
      <t>ソマツ</t>
    </rPh>
    <rPh sb="3" eb="4">
      <t>イエ</t>
    </rPh>
    <phoneticPr fontId="1"/>
  </si>
  <si>
    <t>ちょうちょう</t>
    <phoneticPr fontId="1"/>
  </si>
  <si>
    <t>打打</t>
    <rPh sb="0" eb="1">
      <t>ウ</t>
    </rPh>
    <rPh sb="1" eb="2">
      <t>ウ</t>
    </rPh>
    <phoneticPr fontId="1"/>
  </si>
  <si>
    <t>連続で甲高い音が鳴る</t>
    <rPh sb="0" eb="2">
      <t>レンゾク</t>
    </rPh>
    <rPh sb="3" eb="5">
      <t>カンダカ</t>
    </rPh>
    <rPh sb="6" eb="7">
      <t>オト</t>
    </rPh>
    <rPh sb="8" eb="9">
      <t>ナ</t>
    </rPh>
    <phoneticPr fontId="1"/>
  </si>
  <si>
    <t>みょうが</t>
    <phoneticPr fontId="1"/>
  </si>
  <si>
    <t>冥加</t>
    <rPh sb="0" eb="2">
      <t>ミョウガ</t>
    </rPh>
    <phoneticPr fontId="1"/>
  </si>
  <si>
    <t>ありがたいこと</t>
    <phoneticPr fontId="1"/>
  </si>
  <si>
    <t>きっちゅう</t>
    <phoneticPr fontId="1"/>
  </si>
  <si>
    <t>橘中の楽しみ</t>
    <rPh sb="0" eb="1">
      <t>タチバナ</t>
    </rPh>
    <rPh sb="1" eb="2">
      <t>チュウ</t>
    </rPh>
    <rPh sb="3" eb="4">
      <t>タノ</t>
    </rPh>
    <phoneticPr fontId="1"/>
  </si>
  <si>
    <t>囲碁や将棋を楽しむ</t>
    <rPh sb="0" eb="2">
      <t>イゴ</t>
    </rPh>
    <rPh sb="3" eb="5">
      <t>ショウギ</t>
    </rPh>
    <rPh sb="6" eb="7">
      <t>タノ</t>
    </rPh>
    <phoneticPr fontId="1"/>
  </si>
  <si>
    <t>うるうづき</t>
    <phoneticPr fontId="1"/>
  </si>
  <si>
    <t>閏月</t>
    <rPh sb="0" eb="1">
      <t>ウルウ</t>
    </rPh>
    <rPh sb="1" eb="2">
      <t>ツキ</t>
    </rPh>
    <phoneticPr fontId="1"/>
  </si>
  <si>
    <t>かさだか</t>
    <phoneticPr fontId="1"/>
  </si>
  <si>
    <t>嵩高</t>
  </si>
  <si>
    <t>はきゃく</t>
    <phoneticPr fontId="1"/>
  </si>
  <si>
    <t>簸却</t>
  </si>
  <si>
    <t>悪い部分を捨てる</t>
    <rPh sb="0" eb="1">
      <t>ワル</t>
    </rPh>
    <rPh sb="2" eb="4">
      <t>ブブン</t>
    </rPh>
    <rPh sb="5" eb="6">
      <t>ス</t>
    </rPh>
    <phoneticPr fontId="1"/>
  </si>
  <si>
    <t>さいわ</t>
    <phoneticPr fontId="1"/>
  </si>
  <si>
    <t>禄いだと喜ぶ</t>
    <rPh sb="0" eb="1">
      <t>ロク</t>
    </rPh>
    <rPh sb="4" eb="5">
      <t>ヨロコ</t>
    </rPh>
    <phoneticPr fontId="1"/>
  </si>
  <si>
    <t>天からの幸せ</t>
    <rPh sb="0" eb="1">
      <t>テン</t>
    </rPh>
    <rPh sb="4" eb="5">
      <t>シアワ</t>
    </rPh>
    <phoneticPr fontId="1"/>
  </si>
  <si>
    <t>えびね</t>
    <phoneticPr fontId="1"/>
  </si>
  <si>
    <t>蝦根</t>
    <rPh sb="0" eb="1">
      <t>エビ</t>
    </rPh>
    <rPh sb="1" eb="2">
      <t>ネ</t>
    </rPh>
    <phoneticPr fontId="1"/>
  </si>
  <si>
    <t>多年草</t>
    <rPh sb="0" eb="3">
      <t>タネンソウ</t>
    </rPh>
    <phoneticPr fontId="1"/>
  </si>
  <si>
    <t>しょうらい</t>
    <phoneticPr fontId="1"/>
  </si>
  <si>
    <t>請来</t>
    <rPh sb="0" eb="2">
      <t>ショウライ</t>
    </rPh>
    <phoneticPr fontId="1"/>
  </si>
  <si>
    <t>仏像の輸入</t>
    <rPh sb="0" eb="2">
      <t>ブツゾウ</t>
    </rPh>
    <rPh sb="3" eb="5">
      <t>ユニュウ</t>
    </rPh>
    <phoneticPr fontId="1"/>
  </si>
  <si>
    <t>さぐ</t>
    <phoneticPr fontId="1"/>
  </si>
  <si>
    <t>摸る</t>
    <rPh sb="0" eb="1">
      <t>バク</t>
    </rPh>
    <phoneticPr fontId="1"/>
  </si>
  <si>
    <t>あんばい</t>
    <phoneticPr fontId="1"/>
  </si>
  <si>
    <t>按排する</t>
    <rPh sb="0" eb="2">
      <t>アンバイ</t>
    </rPh>
    <phoneticPr fontId="1"/>
  </si>
  <si>
    <t>物事の具合を考慮</t>
    <rPh sb="0" eb="2">
      <t>モノゴト</t>
    </rPh>
    <rPh sb="3" eb="5">
      <t>グアイ</t>
    </rPh>
    <rPh sb="6" eb="8">
      <t>コウリョ</t>
    </rPh>
    <phoneticPr fontId="1"/>
  </si>
  <si>
    <t>れんじん</t>
    <phoneticPr fontId="1"/>
  </si>
  <si>
    <t>鎌刃</t>
    <rPh sb="0" eb="1">
      <t>カマ</t>
    </rPh>
    <rPh sb="1" eb="2">
      <t>ヤイバ</t>
    </rPh>
    <phoneticPr fontId="1"/>
  </si>
  <si>
    <t>鎌の刃</t>
    <rPh sb="0" eb="1">
      <t>カマ</t>
    </rPh>
    <rPh sb="2" eb="3">
      <t>ヤイバ</t>
    </rPh>
    <phoneticPr fontId="1"/>
  </si>
  <si>
    <t>がじょう</t>
    <phoneticPr fontId="1"/>
  </si>
  <si>
    <t>画帖</t>
    <rPh sb="0" eb="2">
      <t>ガジョウ</t>
    </rPh>
    <phoneticPr fontId="1"/>
  </si>
  <si>
    <t>絵を描くための帳面</t>
    <rPh sb="0" eb="1">
      <t>エ</t>
    </rPh>
    <rPh sb="2" eb="3">
      <t>カ</t>
    </rPh>
    <rPh sb="7" eb="9">
      <t>チョウメン</t>
    </rPh>
    <phoneticPr fontId="1"/>
  </si>
  <si>
    <t>こ</t>
    <phoneticPr fontId="1"/>
  </si>
  <si>
    <t>膏える</t>
    <rPh sb="0" eb="1">
      <t>アブラ</t>
    </rPh>
    <phoneticPr fontId="1"/>
  </si>
  <si>
    <t>土地の生産力が上がる</t>
    <rPh sb="0" eb="2">
      <t>トチ</t>
    </rPh>
    <rPh sb="3" eb="6">
      <t>セイサンリョク</t>
    </rPh>
    <rPh sb="7" eb="8">
      <t>ア</t>
    </rPh>
    <phoneticPr fontId="1"/>
  </si>
  <si>
    <t>きざ</t>
    <phoneticPr fontId="1"/>
  </si>
  <si>
    <t>萌す</t>
    <rPh sb="0" eb="1">
      <t>モ</t>
    </rPh>
    <phoneticPr fontId="1"/>
  </si>
  <si>
    <t>萌生　物事が始まる兆し</t>
    <rPh sb="0" eb="1">
      <t>モ</t>
    </rPh>
    <rPh sb="1" eb="2">
      <t>セイ</t>
    </rPh>
    <rPh sb="3" eb="5">
      <t>モノゴト</t>
    </rPh>
    <rPh sb="6" eb="7">
      <t>ハジ</t>
    </rPh>
    <rPh sb="9" eb="10">
      <t>キザ</t>
    </rPh>
    <phoneticPr fontId="1"/>
  </si>
  <si>
    <t>匡す</t>
    <phoneticPr fontId="1"/>
  </si>
  <si>
    <t>匡弼</t>
    <phoneticPr fontId="1"/>
  </si>
  <si>
    <t>わた</t>
    <phoneticPr fontId="1"/>
  </si>
  <si>
    <t>亙る</t>
    <phoneticPr fontId="1"/>
  </si>
  <si>
    <t>めんこう</t>
    <phoneticPr fontId="1"/>
  </si>
  <si>
    <t>綿亙</t>
  </si>
  <si>
    <t>ながくつながり続くこと</t>
    <rPh sb="7" eb="8">
      <t>ツヅ</t>
    </rPh>
    <phoneticPr fontId="1"/>
  </si>
  <si>
    <t>せ</t>
    <phoneticPr fontId="1"/>
  </si>
  <si>
    <t>堰く</t>
    <phoneticPr fontId="1"/>
  </si>
  <si>
    <t>堰塞</t>
  </si>
  <si>
    <t>事えた</t>
    <rPh sb="0" eb="1">
      <t>コト</t>
    </rPh>
    <phoneticPr fontId="1"/>
  </si>
  <si>
    <t>あらた</t>
    <phoneticPr fontId="1"/>
  </si>
  <si>
    <t>革まった</t>
    <rPh sb="0" eb="1">
      <t>アラタ</t>
    </rPh>
    <phoneticPr fontId="1"/>
  </si>
  <si>
    <t>なず</t>
  </si>
  <si>
    <t>旧習に泥む。</t>
  </si>
  <si>
    <t>あがな</t>
    <phoneticPr fontId="1"/>
  </si>
  <si>
    <t>購われた</t>
    <rPh sb="0" eb="1">
      <t>アガナ</t>
    </rPh>
    <phoneticPr fontId="1"/>
  </si>
  <si>
    <t>こうじ</t>
    <phoneticPr fontId="1"/>
  </si>
  <si>
    <t>鉤餌</t>
    <phoneticPr fontId="1"/>
  </si>
  <si>
    <t>釣り針の餌</t>
    <rPh sb="0" eb="3">
      <t>ツリバリ</t>
    </rPh>
    <rPh sb="4" eb="5">
      <t>エサ</t>
    </rPh>
    <phoneticPr fontId="1"/>
  </si>
  <si>
    <t>そうい</t>
    <phoneticPr fontId="1"/>
  </si>
  <si>
    <t>匝囲</t>
    <rPh sb="1" eb="2">
      <t>カコ</t>
    </rPh>
    <phoneticPr fontId="1"/>
  </si>
  <si>
    <t>囲むこと</t>
    <rPh sb="0" eb="1">
      <t>カコ</t>
    </rPh>
    <phoneticPr fontId="1"/>
  </si>
  <si>
    <t>あざむ</t>
    <phoneticPr fontId="1"/>
  </si>
  <si>
    <t>詑く</t>
    <rPh sb="0" eb="1">
      <t>アザムク</t>
    </rPh>
    <phoneticPr fontId="1"/>
  </si>
  <si>
    <t>だます</t>
    <phoneticPr fontId="1"/>
  </si>
  <si>
    <t>もんめ</t>
    <phoneticPr fontId="1"/>
  </si>
  <si>
    <t>匁</t>
    <rPh sb="0" eb="1">
      <t>モンメ</t>
    </rPh>
    <phoneticPr fontId="1"/>
  </si>
  <si>
    <t>尺貫法の重さの単位</t>
    <rPh sb="0" eb="1">
      <t>シャク</t>
    </rPh>
    <rPh sb="4" eb="5">
      <t>オモ</t>
    </rPh>
    <rPh sb="7" eb="9">
      <t>タンイ</t>
    </rPh>
    <phoneticPr fontId="1"/>
  </si>
  <si>
    <t>すなわ</t>
    <phoneticPr fontId="1"/>
  </si>
  <si>
    <t>迺(廼)ち</t>
    <phoneticPr fontId="1"/>
  </si>
  <si>
    <t>そして</t>
    <phoneticPr fontId="1"/>
  </si>
  <si>
    <t>がんてき</t>
    <phoneticPr fontId="1"/>
  </si>
  <si>
    <t>岸荻</t>
    <rPh sb="0" eb="1">
      <t>キシ</t>
    </rPh>
    <rPh sb="1" eb="2">
      <t>オギ</t>
    </rPh>
    <phoneticPr fontId="1"/>
  </si>
  <si>
    <t>岸にある荻</t>
    <rPh sb="0" eb="1">
      <t>キシ</t>
    </rPh>
    <rPh sb="4" eb="5">
      <t>オギ</t>
    </rPh>
    <phoneticPr fontId="1"/>
  </si>
  <si>
    <t>そうじょう</t>
    <phoneticPr fontId="1"/>
  </si>
  <si>
    <t>騒擾</t>
    <rPh sb="0" eb="2">
      <t>ソウジョウ</t>
    </rPh>
    <phoneticPr fontId="1"/>
  </si>
  <si>
    <t>秩序を乱すこと</t>
    <rPh sb="0" eb="2">
      <t>チツジョ</t>
    </rPh>
    <rPh sb="3" eb="4">
      <t>ミダ</t>
    </rPh>
    <phoneticPr fontId="1"/>
  </si>
  <si>
    <t>けが</t>
    <phoneticPr fontId="1"/>
  </si>
  <si>
    <t>瀆(涜)す</t>
    <rPh sb="2" eb="3">
      <t>トク</t>
    </rPh>
    <phoneticPr fontId="1"/>
  </si>
  <si>
    <t>瀆職</t>
    <rPh sb="1" eb="2">
      <t>ショク</t>
    </rPh>
    <phoneticPr fontId="1"/>
  </si>
  <si>
    <t>しげ</t>
    <phoneticPr fontId="1"/>
  </si>
  <si>
    <t>蕃る</t>
    <rPh sb="0" eb="1">
      <t>シゲル</t>
    </rPh>
    <phoneticPr fontId="1"/>
  </si>
  <si>
    <t>蕃殖</t>
    <rPh sb="1" eb="2">
      <t>ショク</t>
    </rPh>
    <phoneticPr fontId="1"/>
  </si>
  <si>
    <t>はじ</t>
    <phoneticPr fontId="1"/>
  </si>
  <si>
    <t>肇める</t>
    <rPh sb="0" eb="1">
      <t>ハジメ</t>
    </rPh>
    <phoneticPr fontId="1"/>
  </si>
  <si>
    <t>ちょうぞう</t>
    <phoneticPr fontId="1"/>
  </si>
  <si>
    <t>肇造</t>
    <rPh sb="0" eb="2">
      <t>チョウゾウ</t>
    </rPh>
    <phoneticPr fontId="1"/>
  </si>
  <si>
    <t>初めてつくること</t>
    <rPh sb="0" eb="1">
      <t>ハジ</t>
    </rPh>
    <phoneticPr fontId="1"/>
  </si>
  <si>
    <t>すぎ(杉)</t>
    <rPh sb="3" eb="4">
      <t>スギ</t>
    </rPh>
    <phoneticPr fontId="1"/>
  </si>
  <si>
    <t>椙(国字)</t>
    <rPh sb="0" eb="1">
      <t>スギ</t>
    </rPh>
    <rPh sb="2" eb="4">
      <t>コクジ</t>
    </rPh>
    <phoneticPr fontId="1"/>
  </si>
  <si>
    <t>せいち</t>
    <phoneticPr fontId="1"/>
  </si>
  <si>
    <t>棲遅</t>
  </si>
  <si>
    <t>ほけい</t>
    <phoneticPr fontId="1"/>
  </si>
  <si>
    <t>圃畦</t>
  </si>
  <si>
    <t>とくひつ</t>
    <phoneticPr fontId="1"/>
  </si>
  <si>
    <t>禿筆</t>
    <rPh sb="0" eb="2">
      <t>トクヒツ</t>
    </rPh>
    <phoneticPr fontId="1"/>
  </si>
  <si>
    <t>いちゆう</t>
    <phoneticPr fontId="1"/>
  </si>
  <si>
    <t>先輩に一揖した。</t>
    <rPh sb="0" eb="2">
      <t>センパイ</t>
    </rPh>
    <rPh sb="3" eb="5">
      <t>イチユウ</t>
    </rPh>
    <phoneticPr fontId="1"/>
  </si>
  <si>
    <t>隈取</t>
    <rPh sb="0" eb="2">
      <t>クマドリ</t>
    </rPh>
    <phoneticPr fontId="1"/>
  </si>
  <si>
    <t>歌舞伎のクマドりのような化粧だ。</t>
  </si>
  <si>
    <t xml:space="preserve">這般 </t>
  </si>
  <si>
    <t>シャハンの事情により活動を休止することになった。</t>
  </si>
  <si>
    <t>銑鉄</t>
  </si>
  <si>
    <t>鉄鉱石を溶かしてセンテツを取り出す。</t>
  </si>
  <si>
    <t>瘦(痩)軀(躯)</t>
    <phoneticPr fontId="1"/>
  </si>
  <si>
    <t>長身ソウクの男性。</t>
  </si>
  <si>
    <t>巨細</t>
    <rPh sb="0" eb="2">
      <t>コサイ</t>
    </rPh>
    <phoneticPr fontId="1"/>
  </si>
  <si>
    <t>関する情報をコサイ漏らさず調べる。</t>
  </si>
  <si>
    <t>きのえ、きのと、ひ、つち、か(金)、みず</t>
    <rPh sb="15" eb="16">
      <t xml:space="preserve">キン </t>
    </rPh>
    <phoneticPr fontId="1"/>
  </si>
  <si>
    <t>十干訓読み</t>
    <rPh sb="0" eb="1">
      <t>ジッカn</t>
    </rPh>
    <rPh sb="2" eb="4">
      <t>クンヨミ</t>
    </rPh>
    <phoneticPr fontId="1"/>
  </si>
  <si>
    <t xml:space="preserve">禿 </t>
  </si>
  <si>
    <t>鉛筆の先がチびる。</t>
  </si>
  <si>
    <t>撞木</t>
    <rPh sb="0" eb="2">
      <t>シュモク</t>
    </rPh>
    <phoneticPr fontId="1"/>
  </si>
  <si>
    <t>シュモクで鐘を鳴らす。</t>
  </si>
  <si>
    <t xml:space="preserve">倦 </t>
  </si>
  <si>
    <t>ウまず弛(たゆ)まず作業を続ける。</t>
  </si>
  <si>
    <t>霞</t>
    <rPh sb="0" eb="1">
      <t xml:space="preserve">カスミ </t>
    </rPh>
    <phoneticPr fontId="1"/>
  </si>
  <si>
    <t>山にカスミがたなびく。</t>
  </si>
  <si>
    <t>内裏雛</t>
    <rPh sb="0" eb="3">
      <t>ダイリ</t>
    </rPh>
    <phoneticPr fontId="1"/>
  </si>
  <si>
    <t>男女一対のダイリビナを飾る。</t>
  </si>
  <si>
    <t>一掬</t>
  </si>
  <si>
    <t>イッキクの涙を注ぐ。</t>
  </si>
  <si>
    <t>粟</t>
    <phoneticPr fontId="1"/>
  </si>
  <si>
    <t>アワは五穀の一つに数えられる。</t>
  </si>
  <si>
    <t xml:space="preserve">湯桶 </t>
  </si>
  <si>
    <t>消印(けしいん)はユトウ読みと言われる。</t>
    <phoneticPr fontId="1"/>
  </si>
  <si>
    <t>栄耀</t>
    <rPh sb="0" eb="2">
      <t>エイヨウ</t>
    </rPh>
    <phoneticPr fontId="1"/>
  </si>
  <si>
    <t>その時代にエイヨウ栄華を極めた。</t>
  </si>
  <si>
    <t>鼎立</t>
    <rPh sb="0" eb="2">
      <t>テイリ</t>
    </rPh>
    <phoneticPr fontId="1"/>
  </si>
  <si>
    <t>三つの派閥がテイリツしている。</t>
  </si>
  <si>
    <t>立錐</t>
    <rPh sb="0" eb="2">
      <t>リッスイ</t>
    </rPh>
    <phoneticPr fontId="1"/>
  </si>
  <si>
    <t>リッスイの余地もないほどの混雑ぶりだった。</t>
  </si>
  <si>
    <t>寄寓</t>
    <rPh sb="0" eb="2">
      <t>キグウ</t>
    </rPh>
    <phoneticPr fontId="1"/>
  </si>
  <si>
    <t>親戚の家にキグウする。</t>
  </si>
  <si>
    <t>嬉</t>
    <rPh sb="0" eb="1">
      <t>ウレセィ</t>
    </rPh>
    <phoneticPr fontId="1"/>
  </si>
  <si>
    <t>ウレしい気持ちになる。</t>
  </si>
  <si>
    <t>曳航</t>
    <rPh sb="0" eb="2">
      <t>エイコウ</t>
    </rPh>
    <phoneticPr fontId="1"/>
  </si>
  <si>
    <t>作業船を港までエイコウする。</t>
  </si>
  <si>
    <t>嵌・塡</t>
  </si>
  <si>
    <t>タイヤが溝にハまってしまった。</t>
  </si>
  <si>
    <t>轡</t>
    <phoneticPr fontId="1"/>
  </si>
  <si>
    <t>馬にクツワをくわえさせる。</t>
  </si>
  <si>
    <t>充填</t>
    <rPh sb="0" eb="2">
      <t>ジュウテn</t>
    </rPh>
    <phoneticPr fontId="1"/>
  </si>
  <si>
    <t>タイヤに空気をジュウテンする。</t>
  </si>
  <si>
    <t>甲乙丙丁戊己庚辛壬癸</t>
    <rPh sb="0" eb="2">
      <t>コウオテゥ</t>
    </rPh>
    <rPh sb="2" eb="4">
      <t>ヘイテイ</t>
    </rPh>
    <rPh sb="4" eb="6">
      <t xml:space="preserve">ボキ </t>
    </rPh>
    <rPh sb="6" eb="7">
      <t xml:space="preserve">コウシン </t>
    </rPh>
    <rPh sb="7" eb="8">
      <t>カライ</t>
    </rPh>
    <rPh sb="8" eb="10">
      <t xml:space="preserve">ジンキ </t>
    </rPh>
    <phoneticPr fontId="1"/>
  </si>
  <si>
    <t>十干漢字</t>
    <rPh sb="0" eb="1">
      <t>ジッカn</t>
    </rPh>
    <rPh sb="2" eb="4">
      <t>カンゼィ</t>
    </rPh>
    <phoneticPr fontId="1"/>
  </si>
  <si>
    <t>糊塗</t>
  </si>
  <si>
    <t>不都合な事実をコトする。</t>
  </si>
  <si>
    <t>埠頭</t>
    <rPh sb="0" eb="2">
      <t>フトウ</t>
    </rPh>
    <phoneticPr fontId="1"/>
  </si>
  <si>
    <t>フトウに着岸する豪華なクルーズ船。</t>
  </si>
  <si>
    <t>鼎談</t>
    <rPh sb="0" eb="2">
      <t>テイダn</t>
    </rPh>
    <phoneticPr fontId="1"/>
  </si>
  <si>
    <t>三人の市長によるテイダンが行われた。</t>
  </si>
  <si>
    <t>好々爺</t>
    <rPh sb="0" eb="1">
      <t>コウコウ</t>
    </rPh>
    <phoneticPr fontId="1"/>
  </si>
  <si>
    <t>頑固だった父も今ではコウコウヤになった。</t>
  </si>
  <si>
    <t>顚(顛)末</t>
    <rPh sb="2" eb="3">
      <t>テン</t>
    </rPh>
    <rPh sb="4" eb="5">
      <t>スエ</t>
    </rPh>
    <phoneticPr fontId="1"/>
  </si>
  <si>
    <t>事のテンマツを話す。</t>
  </si>
  <si>
    <t>友誼</t>
    <rPh sb="0" eb="2">
      <t xml:space="preserve">ユウギ </t>
    </rPh>
    <phoneticPr fontId="1"/>
  </si>
  <si>
    <t>彼はユウギに厚い男だ。</t>
  </si>
  <si>
    <t>華燭</t>
  </si>
  <si>
    <t>盛大なカショクの典を挙げた。</t>
  </si>
  <si>
    <t>蝶番</t>
  </si>
  <si>
    <t>ドアのチョウツガイを付け替える。</t>
  </si>
  <si>
    <t>窪・凹</t>
  </si>
  <si>
    <t>クボみに水がたまる。</t>
  </si>
  <si>
    <t>耽溺</t>
    <rPh sb="0" eb="2">
      <t>タンデキ</t>
    </rPh>
    <phoneticPr fontId="1"/>
  </si>
  <si>
    <t>酒にタンデキする日々を送っていた。</t>
  </si>
  <si>
    <t>土囊(嚢)</t>
  </si>
  <si>
    <t>ドノウを積んで浸水を防ぐ。</t>
  </si>
  <si>
    <t>安堵</t>
    <rPh sb="0" eb="2">
      <t>アンド</t>
    </rPh>
    <phoneticPr fontId="1"/>
  </si>
  <si>
    <t>良い結果にアンドの表情を浮かべた。</t>
  </si>
  <si>
    <t>くぐ</t>
  </si>
  <si>
    <t>長い戦争を潜り抜けた。</t>
  </si>
  <si>
    <t>白樺</t>
    <rPh sb="0" eb="2">
      <t>シラカバ</t>
    </rPh>
    <phoneticPr fontId="1"/>
  </si>
  <si>
    <t>シラカバの並木道を歩く。</t>
  </si>
  <si>
    <t>コウオツ平定簿記更新ジンキ</t>
    <rPh sb="4" eb="6">
      <t>ヘイテイ</t>
    </rPh>
    <rPh sb="6" eb="8">
      <t>ボキ</t>
    </rPh>
    <rPh sb="8" eb="10">
      <t xml:space="preserve">コウシン </t>
    </rPh>
    <phoneticPr fontId="1"/>
  </si>
  <si>
    <t>十干音読み</t>
    <rPh sb="0" eb="1">
      <t>ジッカ</t>
    </rPh>
    <rPh sb="2" eb="4">
      <t>オンヨミ</t>
    </rPh>
    <phoneticPr fontId="1"/>
  </si>
  <si>
    <t>煽</t>
    <rPh sb="0" eb="1">
      <t>オダ</t>
    </rPh>
    <phoneticPr fontId="1"/>
  </si>
  <si>
    <t>相手をオダててその気にさせる。</t>
  </si>
  <si>
    <t>萎</t>
    <rPh sb="0" eb="1">
      <t>シナ</t>
    </rPh>
    <phoneticPr fontId="1"/>
  </si>
  <si>
    <t>花瓶の花がシナびてしまった。</t>
  </si>
  <si>
    <t>犀利</t>
    <rPh sb="0" eb="2">
      <t>サイリ</t>
    </rPh>
    <phoneticPr fontId="1"/>
  </si>
  <si>
    <t>その時代をサイリな洞察力で分析した。</t>
  </si>
  <si>
    <t>蠟(蝋)燭</t>
    <rPh sb="2" eb="3">
      <t>ロウ</t>
    </rPh>
    <rPh sb="4" eb="5">
      <t>ショク</t>
    </rPh>
    <phoneticPr fontId="1"/>
  </si>
  <si>
    <t>ロウソクに火をつける。</t>
  </si>
  <si>
    <t>忽然</t>
  </si>
  <si>
    <t>彼はコツゼンと姿を消した。</t>
  </si>
  <si>
    <t>珊瑚礁</t>
    <rPh sb="0" eb="3">
      <t>サンゴショウ</t>
    </rPh>
    <phoneticPr fontId="1"/>
  </si>
  <si>
    <t>沖縄で見たサンゴショウが忘れられない。</t>
  </si>
  <si>
    <t>蔓延</t>
  </si>
  <si>
    <t>社会に嫌な空気がマンエンする。</t>
  </si>
  <si>
    <t>めぐ</t>
    <phoneticPr fontId="1"/>
  </si>
  <si>
    <t>工夫を運らす。</t>
  </si>
  <si>
    <t>末枯れた葉が何枚かある。</t>
  </si>
  <si>
    <t>ことづ</t>
  </si>
  <si>
    <t>父から伝言を託かる。</t>
  </si>
  <si>
    <t>シチュー陰謀紳士語尾親友呪術(ジュツガイ)廻戦</t>
    <rPh sb="4" eb="6">
      <t>インボウ</t>
    </rPh>
    <rPh sb="6" eb="10">
      <t>シn</t>
    </rPh>
    <rPh sb="10" eb="12">
      <t>シn</t>
    </rPh>
    <rPh sb="12" eb="23">
      <t>ジュジュテゥ</t>
    </rPh>
    <phoneticPr fontId="1"/>
  </si>
  <si>
    <t>十二支音読み</t>
    <rPh sb="0" eb="1">
      <t>ジュウニ</t>
    </rPh>
    <phoneticPr fontId="1"/>
  </si>
  <si>
    <t>しゅうしゅう</t>
  </si>
  <si>
    <t>様々な虫が揖揖としているわ。</t>
  </si>
  <si>
    <t>子丑寅卯辰巳午未申酉戌亥</t>
    <rPh sb="0" eb="1">
      <t xml:space="preserve">コ </t>
    </rPh>
    <rPh sb="1" eb="2">
      <t xml:space="preserve">ウシ </t>
    </rPh>
    <rPh sb="2" eb="3">
      <t xml:space="preserve">トラ </t>
    </rPh>
    <rPh sb="3" eb="4">
      <t xml:space="preserve">ウ </t>
    </rPh>
    <rPh sb="5" eb="6">
      <t xml:space="preserve">ミ </t>
    </rPh>
    <rPh sb="7" eb="8">
      <t xml:space="preserve">ヒツジ </t>
    </rPh>
    <rPh sb="8" eb="9">
      <t xml:space="preserve">サル </t>
    </rPh>
    <rPh sb="10" eb="11">
      <t xml:space="preserve">イヌ </t>
    </rPh>
    <rPh sb="11" eb="12">
      <t xml:space="preserve">イノシシ </t>
    </rPh>
    <phoneticPr fontId="1"/>
  </si>
  <si>
    <t>十二支漢字</t>
    <rPh sb="0" eb="3">
      <t>１２セィ</t>
    </rPh>
    <rPh sb="3" eb="5">
      <t>カンゼィ</t>
    </rPh>
    <phoneticPr fontId="1"/>
  </si>
  <si>
    <t>れんかん</t>
  </si>
  <si>
    <t>これらの問題は互いに聯関している。</t>
  </si>
  <si>
    <t>はな</t>
  </si>
  <si>
    <t>端から知っていたことだ。</t>
  </si>
  <si>
    <t>みだ</t>
  </si>
  <si>
    <t>漫りに行ってはならない。</t>
  </si>
  <si>
    <t>ぬか</t>
  </si>
  <si>
    <t>墓の前に額ずく。</t>
  </si>
  <si>
    <t>に</t>
  </si>
  <si>
    <t>美しい丹塗りの社殿だ。</t>
  </si>
  <si>
    <t>ひた</t>
  </si>
  <si>
    <t>直向きに練習を重ねる。</t>
  </si>
  <si>
    <t>さなが</t>
  </si>
  <si>
    <t>本番宛らに行う。</t>
  </si>
  <si>
    <t>はらわた</t>
  </si>
  <si>
    <t>あの時は腸がちぎれる思いだった。</t>
  </si>
  <si>
    <t>なんなん</t>
  </si>
  <si>
    <t>立ち上げから五年に垂とする。</t>
  </si>
  <si>
    <t>したが</t>
  </si>
  <si>
    <t>法令に遵う。</t>
  </si>
  <si>
    <t>かんが</t>
  </si>
  <si>
    <t>改善策を案える。</t>
  </si>
  <si>
    <t>あたか</t>
  </si>
  <si>
    <t>宛も真実を知っているかのようだった。</t>
  </si>
  <si>
    <t>とき</t>
  </si>
  <si>
    <t>今が正に危急存亡の秋である。</t>
  </si>
  <si>
    <t>わ</t>
  </si>
  <si>
    <t>地震で地面が破れる。</t>
  </si>
  <si>
    <t>しばら</t>
  </si>
  <si>
    <t>頃く沈黙が続いた。</t>
  </si>
  <si>
    <t>しら</t>
  </si>
  <si>
    <t>事実の有無を査べる。</t>
  </si>
  <si>
    <t>ちなみ</t>
  </si>
  <si>
    <t>因に正解はこちらになります。</t>
  </si>
  <si>
    <t>かたじけな</t>
  </si>
  <si>
    <t>辱く存じます。</t>
  </si>
  <si>
    <t>うなじ</t>
  </si>
  <si>
    <t>項を垂れる。</t>
  </si>
  <si>
    <t>つ</t>
  </si>
  <si>
    <t>彼に亜いで二番目の成績だった。</t>
  </si>
  <si>
    <t>また</t>
  </si>
  <si>
    <t>復の機会に依頼する。</t>
  </si>
  <si>
    <t>きざはし</t>
  </si>
  <si>
    <t>長い階を上っていく。</t>
  </si>
  <si>
    <t>つか</t>
  </si>
  <si>
    <t>よく父母に事える。</t>
  </si>
  <si>
    <t>おさ</t>
  </si>
  <si>
    <t>大学で社会学を攻めた。</t>
  </si>
  <si>
    <t>ひら</t>
  </si>
  <si>
    <t>一枚の桜の花びらを手にのせた。</t>
  </si>
  <si>
    <t>やに</t>
  </si>
  <si>
    <t>松の脂を採取する。</t>
  </si>
  <si>
    <t>まがい</t>
  </si>
  <si>
    <t>いつの間にか擬物とすり替えられた。</t>
  </si>
  <si>
    <t>なまめ</t>
  </si>
  <si>
    <t>妖かしい姿。</t>
  </si>
  <si>
    <t>よろこ</t>
  </si>
  <si>
    <t>無事新年を迎えられたことを賀ぶ。</t>
  </si>
  <si>
    <t>けみ</t>
  </si>
  <si>
    <t>その時から二十年を閲した。</t>
  </si>
  <si>
    <t>よ</t>
  </si>
  <si>
    <t>克く耳にする名前だ。</t>
  </si>
  <si>
    <t>ろく</t>
  </si>
  <si>
    <t>彼は陸な人間ではない。</t>
  </si>
  <si>
    <t>くわ</t>
  </si>
  <si>
    <t>精しい情報を得る。</t>
  </si>
  <si>
    <t>あずか</t>
  </si>
  <si>
    <t>その恩恵に与る。</t>
  </si>
  <si>
    <t>ひろ</t>
  </si>
  <si>
    <t>寛い心を持っている。</t>
  </si>
  <si>
    <t>あらた</t>
  </si>
  <si>
    <t>不正がないか検める。</t>
  </si>
  <si>
    <t>うすもの、うすぎぬ</t>
  </si>
  <si>
    <t>羅を着た女性が立っている。</t>
  </si>
  <si>
    <t>しご</t>
  </si>
  <si>
    <t>新入部員を扱く。</t>
  </si>
  <si>
    <t>あや</t>
  </si>
  <si>
    <t>異しいと思われても仕方がない。</t>
  </si>
  <si>
    <t>やから</t>
  </si>
  <si>
    <t>不審な族がうろついている。</t>
  </si>
  <si>
    <t>こな</t>
  </si>
  <si>
    <t>熟れた日本語で訳されている。</t>
  </si>
  <si>
    <t>天を衝くほどの高さだ。</t>
  </si>
  <si>
    <t>ばら</t>
  </si>
  <si>
    <t>一斉に散ける。</t>
  </si>
  <si>
    <t>ふ</t>
  </si>
  <si>
    <t>珍しい斑入りの葉だ。</t>
  </si>
  <si>
    <t>しりぞ</t>
  </si>
  <si>
    <t>相手の要求を斥ける。</t>
  </si>
  <si>
    <t>ほぼ</t>
  </si>
  <si>
    <t>つづま</t>
  </si>
  <si>
    <t>約やかな生活をする。</t>
  </si>
  <si>
    <t>なにがし</t>
  </si>
  <si>
    <t>某かの結果は得られるだろう。</t>
  </si>
  <si>
    <t>人々の需めが多い分野だ。</t>
  </si>
  <si>
    <t>がえん</t>
  </si>
  <si>
    <t>医師の注意を肯じなかった。</t>
  </si>
  <si>
    <t>ささ</t>
  </si>
  <si>
    <t>細やかに挙式を行う。</t>
  </si>
  <si>
    <t>こぼ</t>
  </si>
  <si>
    <t>仕事の愚痴を零す。</t>
  </si>
  <si>
    <t>ひそ</t>
  </si>
  <si>
    <t>私かに計画を立てる。</t>
  </si>
  <si>
    <t>ひとえ</t>
  </si>
  <si>
    <t>偏にお願い申し上げます。</t>
  </si>
  <si>
    <t>いたわ</t>
  </si>
  <si>
    <t>お年寄りの方を労る。</t>
  </si>
  <si>
    <t>おもむろ</t>
  </si>
  <si>
    <t>彼女は徐に口を開いた。</t>
  </si>
  <si>
    <t>いたずら</t>
  </si>
  <si>
    <t>徒に時間だけが過ぎていく。</t>
  </si>
  <si>
    <t>すだ</t>
  </si>
  <si>
    <t>夜の電灯に虫が集く。</t>
  </si>
  <si>
    <t>あつ</t>
  </si>
  <si>
    <t>彼は情に篤い人だ。</t>
  </si>
  <si>
    <t>あざな</t>
  </si>
  <si>
    <t>禍福は糾える縄の如し。</t>
  </si>
  <si>
    <t>彼に真意を問い質す。</t>
  </si>
  <si>
    <t>わざ</t>
  </si>
  <si>
    <t>態としたわけではない。</t>
  </si>
  <si>
    <t>しつら</t>
  </si>
  <si>
    <t>店内を北欧風に設える。</t>
  </si>
  <si>
    <t>あまね</t>
  </si>
  <si>
    <t>全国に普く知れ渡る。</t>
  </si>
  <si>
    <t>とざ</t>
  </si>
  <si>
    <t>入口を鎖す。</t>
  </si>
  <si>
    <t>はや</t>
  </si>
  <si>
    <t>逸る馬に乗り出発した。</t>
  </si>
  <si>
    <t>おお</t>
  </si>
  <si>
    <t>逃げ果せることはできないだろう。</t>
  </si>
  <si>
    <t>おど</t>
  </si>
  <si>
    <t>相手の威しに屈しない。</t>
  </si>
  <si>
    <t>うつ</t>
  </si>
  <si>
    <t>彼は虚ろな表情をしていた。</t>
  </si>
  <si>
    <t>くび</t>
  </si>
  <si>
    <t>括れた形の花瓶。</t>
  </si>
  <si>
    <t>なす</t>
  </si>
  <si>
    <t>他人に罪を擦り付ける。</t>
  </si>
  <si>
    <t>あずまや</t>
  </si>
  <si>
    <t>四阿の中に入る。</t>
  </si>
  <si>
    <t>かこつ</t>
  </si>
  <si>
    <t>架空の物語に寓ける。</t>
  </si>
  <si>
    <t>あざむ</t>
  </si>
  <si>
    <t>人を詑く悪徳商法だ。</t>
  </si>
  <si>
    <t>怯じたような顔付きだった。</t>
  </si>
  <si>
    <t>そし</t>
  </si>
  <si>
    <t>怠惰の誹りを受ける。</t>
  </si>
  <si>
    <t>たの</t>
  </si>
  <si>
    <t>少しの間、店番を托む。</t>
  </si>
  <si>
    <t>ぬき</t>
  </si>
  <si>
    <t>彼はこのチームでも擢んでた才能を持っている。</t>
  </si>
  <si>
    <t>ふさ</t>
  </si>
  <si>
    <t>逃げ道を杜ぐ。</t>
  </si>
  <si>
    <t>あらたか</t>
  </si>
  <si>
    <t>霊験灼な寺院に訪れた</t>
  </si>
  <si>
    <t>もてあそ</t>
  </si>
  <si>
    <t>植木を翫ぶ。</t>
  </si>
  <si>
    <t>のり</t>
  </si>
  <si>
    <t>己の欲するところに従えども矩を越えず。</t>
  </si>
  <si>
    <t>もてな</t>
  </si>
  <si>
    <t>客人を懇ろに饗す。</t>
  </si>
  <si>
    <t>せ</t>
  </si>
  <si>
    <t>水門が流れを堰く。</t>
  </si>
  <si>
    <t>は</t>
  </si>
  <si>
    <t>慣れた手つきで矢を矧ぐ。</t>
  </si>
  <si>
    <t>まつ</t>
  </si>
  <si>
    <t>裾を纏り縫いで仕上げる。</t>
  </si>
  <si>
    <t>すこぶ</t>
  </si>
  <si>
    <t>今日は頗る好調だ。</t>
  </si>
  <si>
    <t>みやこ</t>
  </si>
  <si>
    <t>洛に入る。</t>
  </si>
  <si>
    <t>その問題は姑く置いておく。</t>
  </si>
  <si>
    <t>まさ</t>
  </si>
  <si>
    <t>春秋鼎に盛んなり。</t>
  </si>
  <si>
    <t>ぬ</t>
  </si>
  <si>
    <t>この中から頭一つ挺いている。</t>
  </si>
  <si>
    <t>かしま</t>
  </si>
  <si>
    <t>外から姦しい声が聞こえる。</t>
  </si>
  <si>
    <t>ほり</t>
  </si>
  <si>
    <t>古墳の周りに壕がある。</t>
  </si>
  <si>
    <t>ゆ</t>
  </si>
  <si>
    <t>大阪へ之く。</t>
  </si>
  <si>
    <t>あですがた</t>
  </si>
  <si>
    <t>女優の艶姿に見とれる。</t>
  </si>
  <si>
    <t>おがら</t>
  </si>
  <si>
    <t>苧殻に火をつける。</t>
  </si>
  <si>
    <t>いなが</t>
  </si>
  <si>
    <t>坐らにして情勢を把握する。</t>
  </si>
  <si>
    <t>さわらび</t>
  </si>
  <si>
    <t>野山に早蕨が萌え出る。</t>
  </si>
  <si>
    <t>すず</t>
  </si>
  <si>
    <t>このコップは錫でできている。</t>
  </si>
  <si>
    <t>多くのものが湊まる。</t>
  </si>
  <si>
    <t>あわせ</t>
  </si>
  <si>
    <t>袷の着物を着る。</t>
  </si>
  <si>
    <t>かし</t>
  </si>
  <si>
    <t>火持ちのよい樫の薪を使う。</t>
  </si>
  <si>
    <t>しか</t>
  </si>
  <si>
    <t>科に盈ちて而る後進む。</t>
  </si>
  <si>
    <t>よみ</t>
  </si>
  <si>
    <t>かつてない功績を嘉する。</t>
  </si>
  <si>
    <t>しぼ</t>
  </si>
  <si>
    <t>風船が凋んでしまった。</t>
  </si>
  <si>
    <t>かゆばら</t>
  </si>
  <si>
    <t>粥腹で体が思うように動かない。</t>
  </si>
  <si>
    <t>あじ</t>
  </si>
  <si>
    <t>鰺を塩焼きにする。</t>
  </si>
  <si>
    <t>ほじく、ほじ</t>
  </si>
  <si>
    <t>蟹の身をスプーンで穿る。</t>
  </si>
  <si>
    <t>みす</t>
  </si>
  <si>
    <t>御簾を隔てて対面した。</t>
  </si>
  <si>
    <t>きこり</t>
  </si>
  <si>
    <t>樵が山に入る。</t>
  </si>
  <si>
    <t>いよいよ</t>
  </si>
  <si>
    <t>愈その時が来た。</t>
  </si>
  <si>
    <t>ひがき</t>
  </si>
  <si>
    <t>庭の周りを檜垣で囲う。</t>
  </si>
  <si>
    <t>やいと</t>
  </si>
  <si>
    <t>腰痛を灸で治療する。</t>
  </si>
  <si>
    <t>にわか</t>
  </si>
  <si>
    <t>俄に注目を集めている。</t>
  </si>
  <si>
    <t>しま</t>
  </si>
  <si>
    <t>縞模様の服を着ている。</t>
  </si>
  <si>
    <t>つと</t>
  </si>
  <si>
    <t>夙に認識していた事柄だ。</t>
  </si>
  <si>
    <t>とがま</t>
  </si>
  <si>
    <t>利鎌のような月の夜。</t>
  </si>
  <si>
    <t>ひとこり</t>
  </si>
  <si>
    <t>一梱の生糸を手に取る。</t>
  </si>
  <si>
    <t>いげた</t>
  </si>
  <si>
    <t>井桁を組んで点火する。</t>
  </si>
  <si>
    <t>おり</t>
  </si>
  <si>
    <t>不信感が澱のように残っている。</t>
  </si>
  <si>
    <t>みはり</t>
  </si>
  <si>
    <t>哨の役を務める。</t>
  </si>
  <si>
    <t>おもね</t>
  </si>
  <si>
    <t>権力に阿ることなく自らの主張を貫く。</t>
  </si>
  <si>
    <t>ゆるが</t>
  </si>
  <si>
    <t>1分たりとも忽せにできない。</t>
  </si>
  <si>
    <t>ひさ</t>
  </si>
  <si>
    <t>古本を粥いでいる。</t>
  </si>
  <si>
    <t>ほとほと</t>
  </si>
  <si>
    <t>夜中の騒音に殆困っている。</t>
  </si>
  <si>
    <t>けわ</t>
  </si>
  <si>
    <t>巌しい山を登る。</t>
  </si>
  <si>
    <t>おい</t>
  </si>
  <si>
    <t>笈を背負って出掛ける。</t>
  </si>
  <si>
    <t>うまや</t>
  </si>
  <si>
    <t>厩に五頭の馬がいる。</t>
  </si>
  <si>
    <t>しとみど</t>
  </si>
  <si>
    <t>蔀戸を開けて採光する。</t>
  </si>
  <si>
    <t>ひがごと</t>
  </si>
  <si>
    <t>それは看過できない僻事である。</t>
  </si>
  <si>
    <t>もすそ</t>
  </si>
  <si>
    <t>長い裳裾を引いて歩いている。</t>
  </si>
  <si>
    <t>はた</t>
  </si>
  <si>
    <t>手でほこりを叩く。</t>
  </si>
  <si>
    <t>くつ</t>
  </si>
  <si>
    <t>馬用の沓を編む。</t>
  </si>
  <si>
    <t>やり</t>
  </si>
  <si>
    <t>鑓を持って戦う。</t>
  </si>
  <si>
    <t>あわ</t>
  </si>
  <si>
    <t>水面に沫が浮く。</t>
  </si>
  <si>
    <t>あざけ</t>
  </si>
  <si>
    <t>嘲るように笑う。</t>
  </si>
  <si>
    <t>どんぶりばち</t>
  </si>
  <si>
    <t>丼鉢に飯をよそう。</t>
  </si>
  <si>
    <t>なが</t>
  </si>
  <si>
    <t>作業し乍ら考える。</t>
  </si>
  <si>
    <t>とが</t>
  </si>
  <si>
    <t>部下の失敗を尤める。</t>
  </si>
  <si>
    <t>たつみ</t>
  </si>
  <si>
    <t>巽の方角を指さした。</t>
  </si>
  <si>
    <t>つぶさ</t>
  </si>
  <si>
    <t>調査結果を悉に知らせる。</t>
  </si>
  <si>
    <t>やぐら</t>
  </si>
  <si>
    <t>丸太で組んだ櫓がある。</t>
  </si>
  <si>
    <t>のだて</t>
  </si>
  <si>
    <t>庭園で野点が行われた。</t>
  </si>
  <si>
    <t>ふせぐ</t>
  </si>
  <si>
    <t>敵の上陸を禦ぐ。</t>
  </si>
  <si>
    <t>ひさご、ふくべ</t>
  </si>
  <si>
    <t>水の入った瓢を持ち歩く。</t>
  </si>
  <si>
    <t>きゅうだん</t>
  </si>
  <si>
    <t>この急灘を越えるのは難しい。</t>
  </si>
  <si>
    <t>せきとく</t>
  </si>
  <si>
    <t>天台の碩徳として知られた。</t>
  </si>
  <si>
    <t>れいせい</t>
  </si>
  <si>
    <t>あの方は先生のご令甥である。</t>
  </si>
  <si>
    <t>りつれつ</t>
  </si>
  <si>
    <t>寒さが厳しいさまを栗烈という。</t>
  </si>
  <si>
    <t>ぐぜい</t>
  </si>
  <si>
    <t>弘誓の船に棹(さお)さして生死の苦海を渡る。</t>
  </si>
  <si>
    <t>せきらん</t>
  </si>
  <si>
    <t>辺りが夕嵐に包まれた。</t>
  </si>
  <si>
    <t>そうや</t>
  </si>
  <si>
    <t>朝早くから夜遅くまでのことを蚤夜という。</t>
  </si>
  <si>
    <t>きょうひつ</t>
  </si>
  <si>
    <t>王朝の匡弼を任された。</t>
  </si>
  <si>
    <t>さいさく</t>
  </si>
  <si>
    <t>堅牢な砦柵をめぐらす。</t>
  </si>
  <si>
    <t>きくもん</t>
  </si>
  <si>
    <t>疑いをかけられ鞠問を受けた。</t>
  </si>
  <si>
    <t>こうとう</t>
  </si>
  <si>
    <t>祭壇の元で叩頭する。</t>
  </si>
  <si>
    <t>とくしょく</t>
  </si>
  <si>
    <t>明治期に瀆職罪に問われた。</t>
  </si>
  <si>
    <t>さまつ</t>
  </si>
  <si>
    <t>些末なことを気にする。</t>
  </si>
  <si>
    <t>ふそう</t>
  </si>
  <si>
    <t>かまとこしきのことを釜甑という。</t>
  </si>
  <si>
    <t>ぐはん</t>
  </si>
  <si>
    <t>少年の虞犯性を認定する。</t>
  </si>
  <si>
    <t>しゃく</t>
  </si>
  <si>
    <t>錫を飛ばす。</t>
  </si>
  <si>
    <t>とうこ</t>
  </si>
  <si>
    <t>董狐の筆に倣って真実を書く。</t>
  </si>
  <si>
    <t>かっぷく</t>
  </si>
  <si>
    <t>堂々たる恰幅の男性だ。</t>
  </si>
  <si>
    <t>きたい</t>
  </si>
  <si>
    <t>危殆に瀕する。</t>
  </si>
  <si>
    <t>へんぱ</t>
  </si>
  <si>
    <t>偏頗な思想の持ち主だ。</t>
  </si>
  <si>
    <t>さいもん</t>
  </si>
  <si>
    <t>柴門を開いて客を中へ入れる。</t>
  </si>
  <si>
    <t>けんちゅう</t>
  </si>
  <si>
    <t>繭紬の着物を着る。</t>
  </si>
  <si>
    <t>けんせん</t>
  </si>
  <si>
    <t>コイルのことを捲線という。</t>
  </si>
  <si>
    <t>しゅうよう</t>
  </si>
  <si>
    <t>縦容として死に就く。</t>
  </si>
  <si>
    <t>ししょう</t>
  </si>
  <si>
    <t>大工のことを梓匠という。</t>
  </si>
  <si>
    <t>すいとん</t>
  </si>
  <si>
    <t>おいしそうな水団の香りが漂う。</t>
  </si>
  <si>
    <t>てんか</t>
  </si>
  <si>
    <t>熟した甜瓜が並んでいる。</t>
  </si>
  <si>
    <t>ねいけいじ</t>
  </si>
  <si>
    <t>業界の寧馨児と呼ばれた。</t>
  </si>
  <si>
    <t>だんきょう</t>
  </si>
  <si>
    <t>灘響が聞こえてきた。</t>
  </si>
  <si>
    <t>はんだ</t>
  </si>
  <si>
    <t>基板に部品を盤陀付けする。</t>
  </si>
  <si>
    <t>らしゃ</t>
  </si>
  <si>
    <t>羅紗の帽子をかぶる。</t>
  </si>
  <si>
    <t>さくほう</t>
  </si>
  <si>
    <t>中国王朝から冊封を受ける。</t>
  </si>
  <si>
    <t>てっしょ</t>
  </si>
  <si>
    <t>鉄杵を磨く日々を送った。</t>
  </si>
  <si>
    <t>ちんせい</t>
  </si>
  <si>
    <t>砧声が鳴り響く。</t>
  </si>
  <si>
    <t>きつがい</t>
  </si>
  <si>
    <t>辞職を願い出ることを乞骸という。</t>
  </si>
  <si>
    <t>せんご</t>
  </si>
  <si>
    <t>舛誤が多くみられた。</t>
  </si>
  <si>
    <t>けいしゅう</t>
  </si>
  <si>
    <t>戦いに敗れて繫囚となった。</t>
  </si>
  <si>
    <t>えいい</t>
  </si>
  <si>
    <t>幼少時代から穎異であった。</t>
  </si>
  <si>
    <t>とうしゅく</t>
  </si>
  <si>
    <t>豆粥を食す。</t>
  </si>
  <si>
    <t>かんせん</t>
  </si>
  <si>
    <t>二つを隔てる壁を貫穿する。</t>
  </si>
  <si>
    <t>きゅうこう</t>
  </si>
  <si>
    <t>鶴九皐に鳴き声天に聞こゆ。</t>
  </si>
  <si>
    <t>るいさい</t>
  </si>
  <si>
    <t>南に塁砦を建造した。</t>
  </si>
  <si>
    <t>きゅうあい</t>
  </si>
  <si>
    <t>宮中に仕える美人を宮娃という。</t>
  </si>
  <si>
    <t>ちょうぞう</t>
  </si>
  <si>
    <t>新しい国家を肇造する。</t>
  </si>
  <si>
    <t>しゅかい</t>
  </si>
  <si>
    <t>詐欺グループの首魁を逮捕した。</t>
  </si>
  <si>
    <t>かか</t>
  </si>
  <si>
    <t>禾稼を納む。</t>
  </si>
  <si>
    <t>ようじゅん、ようしゅん</t>
  </si>
  <si>
    <t>タカとハヤブサのことを鷹隼という。</t>
  </si>
  <si>
    <t>きゅうしゃ</t>
  </si>
  <si>
    <t>厩舎から馬を出す。</t>
  </si>
  <si>
    <t>きしん</t>
  </si>
  <si>
    <t>葵心未だ肯へて差はず。</t>
  </si>
  <si>
    <t>えこう</t>
  </si>
  <si>
    <t>親族一同で廻向する。</t>
  </si>
  <si>
    <t>ほしょう</t>
  </si>
  <si>
    <t>数人の歩哨の姿が見えた</t>
  </si>
  <si>
    <t>土間に釜竈がある。</t>
  </si>
  <si>
    <t>せいしゃ</t>
  </si>
  <si>
    <t>貰赦せらるるを得たり。</t>
  </si>
  <si>
    <t>ほうすい</t>
  </si>
  <si>
    <t>軍艦の烹炊所が再現されている。</t>
  </si>
  <si>
    <t>せいてつ</t>
  </si>
  <si>
    <t>甥姪に会うのは久しぶりだ。</t>
  </si>
  <si>
    <t>ちのう</t>
  </si>
  <si>
    <t>智囊を絞って最善策を探る。</t>
  </si>
  <si>
    <t>だいこう</t>
  </si>
  <si>
    <t>迺公が出るまでもない。</t>
  </si>
  <si>
    <t>けいじつ</t>
  </si>
  <si>
    <t>頃日一人の男と出会った。</t>
  </si>
  <si>
    <t>そんよ</t>
  </si>
  <si>
    <t>巽与の言は、能く説ぶ無からんや。</t>
  </si>
  <si>
    <t>けいさい</t>
  </si>
  <si>
    <t>荊妻と共に向かいます。</t>
  </si>
  <si>
    <t>せんよう</t>
  </si>
  <si>
    <t>弓術に巧みなことを穿楊という。</t>
  </si>
  <si>
    <t>ろうが</t>
  </si>
  <si>
    <t>弄瓦の喜び。</t>
  </si>
  <si>
    <t>うつうつ</t>
  </si>
  <si>
    <t>蔚蔚として暮らしていた。</t>
  </si>
  <si>
    <t>さいせつぶつ</t>
  </si>
  <si>
    <t>火山砕屑物が堆積している。</t>
  </si>
  <si>
    <t>ちゅうそ</t>
  </si>
  <si>
    <t>経書の註疏を読む。</t>
  </si>
  <si>
    <t>じりつ</t>
  </si>
  <si>
    <t>而立は三十歳の異称である。</t>
  </si>
  <si>
    <t>もくせい</t>
  </si>
  <si>
    <t>木犀の花が咲いている。</t>
  </si>
  <si>
    <t>そうこう</t>
  </si>
  <si>
    <t>草藁を書き始める。</t>
  </si>
  <si>
    <t>すいう</t>
  </si>
  <si>
    <t>翠雨の降る美しい風景だった。</t>
  </si>
  <si>
    <t>じょうは</t>
  </si>
  <si>
    <t>散播ではなく条播を行う。</t>
  </si>
  <si>
    <t>そうし</t>
  </si>
  <si>
    <t>遠く離れた桑梓を懐かしむ。</t>
  </si>
  <si>
    <t>しんさい</t>
  </si>
  <si>
    <t>山で薪柴を拾い集める。</t>
  </si>
  <si>
    <t>こうしゅ</t>
  </si>
  <si>
    <t>叩首して許しを請う。</t>
  </si>
  <si>
    <t>びゃくしん</t>
  </si>
  <si>
    <t>立派な柏槙のある神社だ。</t>
  </si>
  <si>
    <t>じんらい</t>
  </si>
  <si>
    <t>迅瀬をさかのぼる。</t>
  </si>
  <si>
    <t>さくほく</t>
  </si>
  <si>
    <t>朔北の地に向かう。</t>
  </si>
  <si>
    <t>しゃこ</t>
  </si>
  <si>
    <t>這箇の中に込める。</t>
  </si>
  <si>
    <t>ぼうげき</t>
  </si>
  <si>
    <t>矛戟の手入れをする。</t>
  </si>
  <si>
    <t>せいげん</t>
  </si>
  <si>
    <t>世諺から多くのことを学んだ。</t>
  </si>
  <si>
    <t>きくす</t>
  </si>
  <si>
    <t>相手の心情を掬す。</t>
  </si>
  <si>
    <t>とくとう</t>
  </si>
  <si>
    <t>禿頭の男が立っている。</t>
  </si>
  <si>
    <t>ひっせい</t>
  </si>
  <si>
    <t>畢生の大業を成し遂げた。</t>
  </si>
  <si>
    <t>さいり</t>
  </si>
  <si>
    <t>犀利な観察眼を持っている。</t>
  </si>
  <si>
    <t>だいふ</t>
  </si>
  <si>
    <t>それなら乃父に考えがある。</t>
  </si>
  <si>
    <t>りつりつ</t>
  </si>
  <si>
    <t>おそれるさまを栗栗という。</t>
  </si>
  <si>
    <t>しゅぼば</t>
  </si>
  <si>
    <t>引退後は種牡馬として活躍している。</t>
  </si>
  <si>
    <t>がんせい</t>
  </si>
  <si>
    <t>世俗を避けて巌栖していた。</t>
  </si>
  <si>
    <t>ゆうたん</t>
  </si>
  <si>
    <t>熊胆を配合した薬だ。</t>
  </si>
  <si>
    <t>けいはん</t>
  </si>
  <si>
    <t>畦畔の草を刈る。</t>
  </si>
  <si>
    <t>こうざ</t>
  </si>
  <si>
    <t>広場に男が尻坐している。</t>
  </si>
  <si>
    <t>じゅりつ</t>
  </si>
  <si>
    <t>自らの力で竪立する。</t>
  </si>
  <si>
    <t>ばんかん</t>
  </si>
  <si>
    <t>盤桓して景色を楽しむ。</t>
  </si>
  <si>
    <t>しゅうそう</t>
  </si>
  <si>
    <t>周匝な研究を進める。</t>
  </si>
  <si>
    <t>えんげ、えんか</t>
  </si>
  <si>
    <t>食物を咽下する。</t>
  </si>
  <si>
    <t>ひっぽう</t>
  </si>
  <si>
    <t>筆鋒鋭く批判した。</t>
  </si>
  <si>
    <t>ようにん</t>
  </si>
  <si>
    <t>任地に赴任しない遥任の国司であった。</t>
  </si>
  <si>
    <t>こうじ</t>
  </si>
  <si>
    <t>鉤餌を底に沈める。</t>
  </si>
  <si>
    <t>かんがい</t>
  </si>
  <si>
    <t>函蓋相応ず。</t>
  </si>
  <si>
    <t>ちゅうぼうし</t>
  </si>
  <si>
    <t>横糸に紬紡糸を用いる。</t>
  </si>
  <si>
    <t>かしょ</t>
  </si>
  <si>
    <t>禾黍が生い茂る。</t>
  </si>
  <si>
    <t>ちょさん</t>
  </si>
  <si>
    <t>樗散であることを痛感した。</t>
  </si>
  <si>
    <t>しょきゅう</t>
  </si>
  <si>
    <t>渚宮の東面煙波冷やかに。</t>
  </si>
  <si>
    <t>ほうよう</t>
  </si>
  <si>
    <t>放鷹が盛んに行われていた。</t>
  </si>
  <si>
    <t>かこう</t>
  </si>
  <si>
    <t>テーブルには美酒佳肴が並んでいる。</t>
  </si>
  <si>
    <t>かんごり</t>
  </si>
  <si>
    <t>寒垢離をとる。</t>
  </si>
  <si>
    <t>しんよ</t>
  </si>
  <si>
    <t>神輿を担ぐ。</t>
  </si>
  <si>
    <t>だんせい、たんせい</t>
  </si>
  <si>
    <t>灘声に耳を傾ける。</t>
  </si>
  <si>
    <t>しっぺい、ちくへい</t>
  </si>
  <si>
    <t>竹篦で肩を打つ。</t>
  </si>
  <si>
    <t>ばいも</t>
  </si>
  <si>
    <t>貝母の花が咲く。</t>
  </si>
  <si>
    <t>あとぶつ</t>
  </si>
  <si>
    <t>阿堵物には興味がない。</t>
  </si>
  <si>
    <t>しゅんげん</t>
  </si>
  <si>
    <t>門下の俊彦として知られていた。</t>
  </si>
  <si>
    <t>とうちゅう</t>
  </si>
  <si>
    <t>重要な部分を頭註で解説する。</t>
  </si>
  <si>
    <t>がいかく</t>
  </si>
  <si>
    <t>秋になったら刈穫する。</t>
  </si>
  <si>
    <t>しょうしゃ</t>
  </si>
  <si>
    <t>陸軍の廠舎が建ち並ぶ。</t>
  </si>
  <si>
    <t>だこ</t>
  </si>
  <si>
    <t>結核予防として駅などに唾壺が設置されていた。</t>
  </si>
  <si>
    <t>えいまん</t>
  </si>
  <si>
    <t>盈満の咎(とが)め。</t>
  </si>
  <si>
    <t>しょうげき</t>
  </si>
  <si>
    <t>小隙を塞ぐ。</t>
  </si>
  <si>
    <t>きょうじん</t>
  </si>
  <si>
    <t>何者かによる兇刃に倒れた。</t>
  </si>
  <si>
    <t>きしょう</t>
    <phoneticPr fontId="1"/>
  </si>
  <si>
    <t>数人の姫妾を寵愛していた。</t>
  </si>
  <si>
    <t>そうしん</t>
  </si>
  <si>
    <t>竈の近くに竈神を祀る。</t>
  </si>
  <si>
    <t>じょうしょう</t>
  </si>
  <si>
    <t>その時代に丞相を務めた。</t>
  </si>
  <si>
    <t>揺曳</t>
    <rPh sb="0" eb="2">
      <t xml:space="preserve">ヨウエイ </t>
    </rPh>
    <phoneticPr fontId="1"/>
  </si>
  <si>
    <t>煙突から出た煙が空にヨウエイしている。</t>
  </si>
  <si>
    <t>篠突</t>
  </si>
  <si>
    <t>シノツく雨の中を車で走る。</t>
  </si>
  <si>
    <t>敏捷</t>
    <rPh sb="0" eb="2">
      <t>ビンショウ</t>
    </rPh>
    <phoneticPr fontId="1"/>
  </si>
  <si>
    <t>ビンショウな動作で仕上げていった。</t>
  </si>
  <si>
    <t>慌</t>
    <rPh sb="0" eb="1">
      <t>アワテ</t>
    </rPh>
    <phoneticPr fontId="1"/>
  </si>
  <si>
    <t>アワてて出掛けていった。</t>
  </si>
  <si>
    <t>馬蹄</t>
    <rPh sb="0" eb="1">
      <t>バテイ</t>
    </rPh>
    <phoneticPr fontId="1"/>
  </si>
  <si>
    <t>バテイ形の小銭入れを持ち歩く。</t>
  </si>
  <si>
    <t>ばつびょう</t>
  </si>
  <si>
    <t>まもなく抜錨して横浜へ向かう。</t>
  </si>
  <si>
    <t>こうげつ、さつき</t>
  </si>
  <si>
    <t>皐月は陰暦五月の別称である。</t>
  </si>
  <si>
    <t>りょううん</t>
  </si>
  <si>
    <t>凌雲の志を持つ。</t>
  </si>
  <si>
    <t>かけい</t>
  </si>
  <si>
    <t>夏畦に労作する。</t>
  </si>
  <si>
    <t>いちじょう</t>
  </si>
  <si>
    <t>半紙二十枚で一帖と数える</t>
  </si>
  <si>
    <t>ないし</t>
  </si>
  <si>
    <t>本人乃至代理人による申請が必要だ。</t>
  </si>
  <si>
    <t>ちゅうしつ</t>
  </si>
  <si>
    <t>厨室から良い匂いがしてきた。</t>
  </si>
  <si>
    <t>いっし、おっし、きのとみ</t>
  </si>
  <si>
    <t>西暦1965年は乙巳の年に当たる。</t>
  </si>
  <si>
    <t>いつび</t>
  </si>
  <si>
    <t>溢美の言ではない。</t>
  </si>
  <si>
    <t>りつりょ</t>
  </si>
  <si>
    <t>律呂の感覚を養う。</t>
  </si>
  <si>
    <t>ちょうこく</t>
  </si>
  <si>
    <t>それは肇国の精神に反するものだ。</t>
  </si>
  <si>
    <t>どんと</t>
  </si>
  <si>
    <t>一日に数十万人を吞吐する巨大な駅。</t>
  </si>
  <si>
    <t>うろ</t>
  </si>
  <si>
    <t>烏鷺の争い。</t>
  </si>
  <si>
    <t>てんさい</t>
  </si>
  <si>
    <t>見渡す限り甜菜の畑が広がる。</t>
  </si>
  <si>
    <t>きごう</t>
  </si>
  <si>
    <t>天皇より禅師の徽号が贈られた。</t>
  </si>
  <si>
    <t>しょうたく</t>
  </si>
  <si>
    <t>妾宅を構え、頻繁に通っていた。</t>
  </si>
  <si>
    <t>りょうか</t>
  </si>
  <si>
    <t>菱花を写真に収める。</t>
  </si>
  <si>
    <t>ちょし</t>
  </si>
  <si>
    <t>君主の世継ぎのことを儲嗣という。</t>
  </si>
  <si>
    <t>きょうそく</t>
  </si>
  <si>
    <t>脇息に肘をつく。</t>
  </si>
  <si>
    <t>ちょま</t>
  </si>
  <si>
    <t>苧麻で織られたものだ。</t>
  </si>
  <si>
    <t>ほひつ</t>
  </si>
  <si>
    <t>国務大臣が天皇を輔弼する。</t>
  </si>
  <si>
    <t>ごくらくおうじょう、ごんぐ</t>
  </si>
  <si>
    <t>極楽往生を欣求する。</t>
  </si>
  <si>
    <t>ぞくりゅう</t>
  </si>
  <si>
    <t>粟粒のような汗をかいていた。</t>
  </si>
  <si>
    <t>はしゅ</t>
  </si>
  <si>
    <t>キャベツを播種する。</t>
  </si>
  <si>
    <t>しんちゅう、かのとうし</t>
  </si>
  <si>
    <t>西暦2021年は辛丑の年に当たる。</t>
  </si>
  <si>
    <t>かろ</t>
  </si>
  <si>
    <t>その国から貨賂を受けた。</t>
  </si>
  <si>
    <t>こうげつ</t>
  </si>
  <si>
    <t>おとく</t>
  </si>
  <si>
    <t>それは神を汚瀆する行為だ。</t>
  </si>
  <si>
    <t>いい</t>
  </si>
  <si>
    <t>唯々として言うことを聞く。</t>
  </si>
  <si>
    <t>れいてつ</t>
  </si>
  <si>
    <t>あの方は先生のご令姪である。</t>
  </si>
  <si>
    <t>かつい</t>
  </si>
  <si>
    <t>夏に葛衣を着る。</t>
  </si>
  <si>
    <t>けんちょう</t>
  </si>
  <si>
    <t>貨物を懸吊して運搬する。</t>
  </si>
  <si>
    <t>たん</t>
  </si>
  <si>
    <t>身の不遇を歎ずる。</t>
  </si>
  <si>
    <t>せんがい</t>
  </si>
  <si>
    <t>葉を揃刈する。</t>
  </si>
  <si>
    <t>そうせい</t>
  </si>
  <si>
    <t>二十代で蚤世した天才作家だ。</t>
  </si>
  <si>
    <t>さくふう</t>
  </si>
  <si>
    <t>冷たい朔風が吹く。</t>
  </si>
  <si>
    <t>けつがん</t>
  </si>
  <si>
    <t>性質が石油に類似した頁岩油。</t>
  </si>
  <si>
    <t>はんしょく</t>
  </si>
  <si>
    <t>すさまじい蕃殖力を持つ。</t>
  </si>
  <si>
    <t>ゆうじょう</t>
  </si>
  <si>
    <t>揖譲して升り下り而して飲ましむ</t>
  </si>
  <si>
    <t>こういん、かのえとら</t>
  </si>
  <si>
    <t>西暦2010年は庚寅の年に当たる。</t>
  </si>
  <si>
    <t>ようとう</t>
  </si>
  <si>
    <t>蠅頭の細字で書かれている。</t>
  </si>
  <si>
    <t>さじ</t>
  </si>
  <si>
    <t>些事にこだわらず改革を推し進める</t>
  </si>
  <si>
    <t>各国の民話を集輯する。</t>
  </si>
  <si>
    <t>ぼうれい</t>
  </si>
  <si>
    <t>暴戻な国王として描かれている。</t>
  </si>
  <si>
    <t>こっとう</t>
  </si>
  <si>
    <t>珍しい骨董品を集めている。</t>
  </si>
  <si>
    <t>さいひ</t>
  </si>
  <si>
    <t>柴扉を閉ざす。</t>
  </si>
  <si>
    <t>よくど</t>
  </si>
  <si>
    <t>この辺りには広大な沃土がある。</t>
  </si>
  <si>
    <t>るじ</t>
  </si>
  <si>
    <t>屢次の戦闘で疲弊している。</t>
  </si>
  <si>
    <t>きよほうへん</t>
  </si>
  <si>
    <t>毀誉褒貶があるのは承知の上だ。</t>
  </si>
  <si>
    <t>こんじく</t>
  </si>
  <si>
    <t>坤軸も折れるかと思うほどの震動であった</t>
  </si>
  <si>
    <t>ひし</t>
  </si>
  <si>
    <t>彼此の事情を考慮する。</t>
  </si>
  <si>
    <t>りんず</t>
  </si>
  <si>
    <t>綾子の着物を着る。</t>
  </si>
  <si>
    <t>しゃはん</t>
  </si>
  <si>
    <t>這般の事情により活動を休止することになった。</t>
  </si>
  <si>
    <t>ひっそく</t>
  </si>
  <si>
    <t>田舎の借家に逼塞する。</t>
  </si>
  <si>
    <t>へいどん</t>
  </si>
  <si>
    <t>周辺の国を併呑していった。</t>
  </si>
  <si>
    <t>もぎどう</t>
  </si>
  <si>
    <t>没義道に人を扱き使う。</t>
  </si>
  <si>
    <t>こうよう</t>
  </si>
  <si>
    <t>綺麗な光耀を放っている。</t>
  </si>
  <si>
    <t>えんや</t>
  </si>
  <si>
    <t>艶冶な雰囲気を醸し出している。</t>
  </si>
  <si>
    <t>いんきょ</t>
  </si>
  <si>
    <t>幕府の允許を得る。</t>
  </si>
  <si>
    <t>ぼうゆう</t>
  </si>
  <si>
    <t>子午線と直交する大円を卯酉線という。</t>
  </si>
  <si>
    <t>ほうちゅう</t>
  </si>
  <si>
    <t>庖厨からよい匂いが漂う。</t>
  </si>
  <si>
    <t>ていしょ</t>
  </si>
  <si>
    <t>ゆっくりと汀渚を歩く。</t>
  </si>
  <si>
    <t>ごうとう</t>
  </si>
  <si>
    <t>豪宕な性格が魅力的に映る。</t>
  </si>
  <si>
    <t>ぎょうあん</t>
  </si>
  <si>
    <t>暁闇の中を突き進む</t>
  </si>
  <si>
    <t>そうが</t>
  </si>
  <si>
    <t>不運にも犯人の爪牙に掛かった。</t>
  </si>
  <si>
    <t>ちはつ、ていはつ</t>
  </si>
  <si>
    <t>薙髪して高野山に入る。</t>
  </si>
  <si>
    <t>へいじ、へいし</t>
  </si>
  <si>
    <t>瓶子に酒を入れる。</t>
  </si>
  <si>
    <t>えいだつ</t>
  </si>
  <si>
    <t>穎脱した頭脳を持っている</t>
  </si>
  <si>
    <t>ふきん</t>
  </si>
  <si>
    <t>山小屋に斧斤が置いてある。</t>
  </si>
  <si>
    <t>せんだつ</t>
  </si>
  <si>
    <t>旧套を蟬脱する。</t>
  </si>
  <si>
    <t>ぼたん、かずい</t>
  </si>
  <si>
    <t>牡丹の花蕊を写真に収める。</t>
  </si>
  <si>
    <t>れんさつ</t>
  </si>
  <si>
    <t>何卒ご憐察ください。</t>
  </si>
  <si>
    <t>たんどく</t>
  </si>
  <si>
    <t>海外の文学作品を耽読していた。</t>
  </si>
  <si>
    <t>とうせい</t>
  </si>
  <si>
    <t>岩場の濤声に圧倒される</t>
  </si>
  <si>
    <t>ろうおう</t>
  </si>
  <si>
    <t>老鶯の鳴き声が聞こえる。</t>
  </si>
  <si>
    <t>ほてい、ほてつ</t>
  </si>
  <si>
    <t>補綴だらけの着物を着ていた。</t>
  </si>
  <si>
    <t>けんし</t>
  </si>
  <si>
    <t>繭糸を撚り合わせて生糸にする。</t>
  </si>
  <si>
    <t>しゃくじょう</t>
  </si>
  <si>
    <t>僧侶の錫杖の音が聞こえる。</t>
  </si>
  <si>
    <t>きぼく</t>
  </si>
  <si>
    <t>新米の収穫地を亀卜で決める。</t>
  </si>
  <si>
    <t>うろん</t>
  </si>
  <si>
    <t>胡乱な輩が出入りしている。</t>
  </si>
  <si>
    <t>きゃら</t>
  </si>
  <si>
    <t>伽羅の香りが一面に広がる。</t>
  </si>
  <si>
    <t>ほうどく</t>
  </si>
  <si>
    <t>代表者が申状を捧読する。</t>
  </si>
  <si>
    <t>はいかい</t>
  </si>
  <si>
    <t>近頃は俳諧を嗜(たしな)んでいる</t>
  </si>
  <si>
    <t>えいこう</t>
  </si>
  <si>
    <t>作業船を港まで曳航する。</t>
  </si>
  <si>
    <t>きんてい</t>
  </si>
  <si>
    <t>欽定訳聖書を好んで読む。</t>
  </si>
  <si>
    <t>こうふ</t>
  </si>
  <si>
    <t>岡阜に登って市街を見渡す。</t>
  </si>
  <si>
    <t>ろうさん</t>
  </si>
  <si>
    <t>一本の老杉が立っている。</t>
  </si>
  <si>
    <t>たくはつ</t>
  </si>
  <si>
    <t>門の前に托鉢の僧侶が立っている。</t>
  </si>
  <si>
    <t>おうせん</t>
  </si>
  <si>
    <t>兄弟の鶯遷を祝う。</t>
  </si>
  <si>
    <t>そんい</t>
  </si>
  <si>
    <t>村の巽位に神社がある。</t>
  </si>
  <si>
    <t>しょうほう</t>
  </si>
  <si>
    <t>戦の捷報を聞いた。</t>
  </si>
  <si>
    <t>しっぴ</t>
  </si>
  <si>
    <t>道の両側に小さな店が櫛比している</t>
  </si>
  <si>
    <t>こうしん、かのえさる</t>
  </si>
  <si>
    <t>西暦1980年は庚申の年に当たる。</t>
  </si>
  <si>
    <t>しゅうちん</t>
  </si>
  <si>
    <t>ポケットから袖珍本を取り出した。</t>
  </si>
  <si>
    <t>らくいん</t>
  </si>
  <si>
    <t>将軍の御落胤という説がある。</t>
  </si>
  <si>
    <t>おうなつ</t>
  </si>
  <si>
    <t>指紋の押捺を拒んでいる。</t>
  </si>
  <si>
    <t>ばく</t>
  </si>
  <si>
    <t>新聞社の論説を駁する。</t>
  </si>
  <si>
    <t>こうしょう</t>
  </si>
  <si>
    <t>海軍工廠に勤めていたという</t>
  </si>
  <si>
    <t>だいじょうえ</t>
  </si>
  <si>
    <t>その年に大嘗会が行われた。</t>
  </si>
  <si>
    <t>しらん</t>
  </si>
  <si>
    <t>芝蘭の交わり。</t>
  </si>
  <si>
    <t>しっこう</t>
  </si>
  <si>
    <t>茶碗を持って畳の上を膝行する。</t>
  </si>
  <si>
    <t>えんぺい</t>
  </si>
  <si>
    <t>月が恒星を掩蔽する。</t>
  </si>
  <si>
    <t>ぼうし</t>
  </si>
  <si>
    <t>川のほとりにある茅茨に一人で住んでいる。</t>
  </si>
  <si>
    <t>せつせつ</t>
  </si>
  <si>
    <t>屑屑として行う</t>
  </si>
  <si>
    <t>きくじん</t>
  </si>
  <si>
    <t>容疑者を鞠訊する。</t>
  </si>
  <si>
    <t>しんし、かのとみ</t>
  </si>
  <si>
    <t>西暦2001年は辛巳の年に当たる。</t>
  </si>
  <si>
    <t>めいきん</t>
  </si>
  <si>
    <t>心地よい鳴禽のさえずりが聞こえる</t>
  </si>
  <si>
    <t>びょうぎ</t>
  </si>
  <si>
    <t>明治二年に鉄道建設の廟議決定がなされた。</t>
  </si>
  <si>
    <t>へんゆう</t>
  </si>
  <si>
    <t>南の辺邑に向かう。</t>
  </si>
  <si>
    <t>さりゅう</t>
  </si>
  <si>
    <t>蓑笠に身をつつむ。</t>
  </si>
  <si>
    <t>きょうじゃく</t>
  </si>
  <si>
    <t>怯弱な性格を鍛え直す。</t>
  </si>
  <si>
    <t>えいさい</t>
  </si>
  <si>
    <t>全国の穎才が集まる。</t>
  </si>
  <si>
    <t>あせい</t>
  </si>
  <si>
    <t>蛙声が響き渡る田舎の道</t>
  </si>
  <si>
    <t>かいこう</t>
  </si>
  <si>
    <t>蟹行文字の本を持ち歩いていた</t>
  </si>
  <si>
    <t>とうゆ</t>
  </si>
  <si>
    <t>桐油合羽を着て表へ出る。</t>
  </si>
  <si>
    <t>すいらん</t>
  </si>
  <si>
    <t>翠嵐の中を一人で歩く。</t>
  </si>
  <si>
    <t>こうふん</t>
  </si>
  <si>
    <t>不満そうな口吻であった</t>
  </si>
  <si>
    <t>きしゅう</t>
    <phoneticPr fontId="1"/>
  </si>
  <si>
    <t>家中に蒐集した骨董品がある。</t>
  </si>
  <si>
    <t>の</t>
  </si>
  <si>
    <t>急速に勢力を伸してきた。</t>
  </si>
  <si>
    <t>ちか</t>
  </si>
  <si>
    <t>目的に向かって同じ行動をとることを盟う。</t>
  </si>
  <si>
    <t>もろもろ</t>
  </si>
  <si>
    <t>諸の意見を聴取する。</t>
  </si>
  <si>
    <t>おろそ</t>
  </si>
  <si>
    <t>対策を疎かにしている。</t>
  </si>
  <si>
    <t>たちま</t>
  </si>
  <si>
    <t>乍ち姿を消した。</t>
  </si>
  <si>
    <t>そば、そわ</t>
  </si>
  <si>
    <t>山の岨を伝っていく。</t>
  </si>
  <si>
    <t>す</t>
  </si>
  <si>
    <t>なにかが摺れるような音がする。</t>
  </si>
  <si>
    <t>でいそ</t>
  </si>
  <si>
    <t>父と祖先のみたまやを禰祖という。</t>
  </si>
  <si>
    <t>にんにく</t>
  </si>
  <si>
    <t>忍辱の袈裟を纏う。</t>
  </si>
  <si>
    <t>でんぎょちっか</t>
  </si>
  <si>
    <t>鮎魚竹竿に上る。</t>
  </si>
  <si>
    <t>しんえん</t>
  </si>
  <si>
    <t>神垣の外から本殿を見た。</t>
  </si>
  <si>
    <t>しょうふく</t>
  </si>
  <si>
    <t>高い身分の人の妾腹の子だ。</t>
  </si>
  <si>
    <t>こうと</t>
  </si>
  <si>
    <t>天下統一の宏図を描く。</t>
  </si>
  <si>
    <t>けっけん</t>
  </si>
  <si>
    <t>わらびの若芽を蕨拳という。</t>
  </si>
  <si>
    <t>ほんろう</t>
  </si>
  <si>
    <t>急流のことを奔滝という。</t>
  </si>
  <si>
    <t>きょうおう</t>
  </si>
  <si>
    <t>一流の料亭で饗応を受けた。</t>
  </si>
  <si>
    <t>ひっきょう</t>
  </si>
  <si>
    <t>主君を弼匡する。</t>
  </si>
  <si>
    <t>たんぜん</t>
  </si>
  <si>
    <t>湛然たる湖の水面にはっきりと空が映っている。</t>
  </si>
  <si>
    <t>しゅうちょう</t>
  </si>
  <si>
    <t>部族の酋長と対面した。</t>
  </si>
  <si>
    <t>しゅもつ</t>
  </si>
  <si>
    <t>腕に腫物ができている</t>
  </si>
  <si>
    <t>しゅくせき</t>
  </si>
  <si>
    <t>夙昔の志望があった。</t>
  </si>
  <si>
    <t>曙光</t>
    <rPh sb="0" eb="2">
      <t>ショコウ</t>
    </rPh>
    <phoneticPr fontId="1"/>
  </si>
  <si>
    <t>景気回復のショコウが見え始めた。</t>
  </si>
  <si>
    <t>まめ</t>
    <phoneticPr fontId="1"/>
  </si>
  <si>
    <t>実に連絡をする。</t>
  </si>
  <si>
    <t>画虎類狗</t>
  </si>
  <si>
    <t>がこるいく</t>
    <phoneticPr fontId="1"/>
  </si>
  <si>
    <t>凡人が非凡の真似をして失敗するさま。虎の絵を描こうとしても犬のような絵になってしまうということから。</t>
    <phoneticPr fontId="1"/>
  </si>
  <si>
    <t>いつき　まつる</t>
  </si>
  <si>
    <t>神を斎き祀る。</t>
  </si>
  <si>
    <t>暮色蒼然</t>
  </si>
  <si>
    <t>ぼしょくそうぜん</t>
    <phoneticPr fontId="1"/>
  </si>
  <si>
    <t>夕暮れ時の薄暗いようす。「暮色」は夕暮れ時の薄暗い色や景色。</t>
    <phoneticPr fontId="1"/>
  </si>
  <si>
    <t>やくし</t>
    <phoneticPr fontId="1"/>
  </si>
  <si>
    <t>薬匙</t>
    <rPh sb="0" eb="1">
      <t>クスリ</t>
    </rPh>
    <rPh sb="1" eb="2">
      <t>サジ</t>
    </rPh>
    <phoneticPr fontId="1"/>
  </si>
  <si>
    <t>磨穿鉄硯</t>
  </si>
  <si>
    <t>ませんてっけん</t>
    <phoneticPr fontId="1"/>
  </si>
  <si>
    <t>強い意志で勉学に励むこと。鉄の硯（すずり）をすり減らして穴をあけるということから。</t>
    <phoneticPr fontId="1"/>
  </si>
  <si>
    <t>くさぐさ</t>
  </si>
  <si>
    <t>種々の品が並んでいる。</t>
  </si>
  <si>
    <t>飛んできたボールを避ける。</t>
  </si>
  <si>
    <t>清濁併呑</t>
  </si>
  <si>
    <t>せいだくへいどん</t>
    <phoneticPr fontId="1"/>
  </si>
  <si>
    <t>度量が大きいこと。善と悪の区別なく受け入れること。</t>
    <phoneticPr fontId="1"/>
  </si>
  <si>
    <t>頓首再拝</t>
  </si>
  <si>
    <t>とんしゅさいはい</t>
    <phoneticPr fontId="1"/>
  </si>
  <si>
    <t>深く頭を下げて敬意を表すこと。</t>
  </si>
  <si>
    <t>つかさど</t>
  </si>
  <si>
    <t>事務一切を掌る。</t>
  </si>
  <si>
    <t>用管窺天</t>
  </si>
  <si>
    <t>ようかんきてん</t>
    <phoneticPr fontId="1"/>
  </si>
  <si>
    <t>視野が狭いこと、世間知らずなこと。</t>
  </si>
  <si>
    <t>玉砕瓦全</t>
  </si>
  <si>
    <t>ぎょくさいがぜん</t>
    <phoneticPr fontId="1"/>
  </si>
  <si>
    <t>名誉を重んじて死ぬことと、無為に生きながらえること。</t>
  </si>
  <si>
    <t>甲論乙駁</t>
  </si>
  <si>
    <t>こうろんおつばく</t>
    <phoneticPr fontId="1"/>
  </si>
  <si>
    <t>議論がうまくまとまらないこと。</t>
  </si>
  <si>
    <t>鳩首凝議</t>
  </si>
  <si>
    <t>きゅうしゅぎょうぎ</t>
    <phoneticPr fontId="1"/>
  </si>
  <si>
    <t>人々が集まり、熱心に相談すること。</t>
  </si>
  <si>
    <t>道聴塗説</t>
  </si>
  <si>
    <t>どうちょうとせつ</t>
    <phoneticPr fontId="1"/>
  </si>
  <si>
    <t>人から聞いたことを、自説のように、すぐさま他人に話すこと。</t>
  </si>
  <si>
    <t>惚</t>
    <rPh sb="0" eb="1">
      <t xml:space="preserve">トボケル </t>
    </rPh>
    <phoneticPr fontId="1"/>
  </si>
  <si>
    <t>知らなかったとトボける。</t>
  </si>
  <si>
    <t>駿馬</t>
    <rPh sb="0" eb="2">
      <t>シュn</t>
    </rPh>
    <phoneticPr fontId="1"/>
  </si>
  <si>
    <t>シュンメが草原を疾走する。</t>
  </si>
  <si>
    <t>気儘</t>
  </si>
  <si>
    <t>一人でキママに暮らす。</t>
  </si>
  <si>
    <t>靴篦</t>
    <rPh sb="0" eb="1">
      <t xml:space="preserve">クツ </t>
    </rPh>
    <phoneticPr fontId="1"/>
  </si>
  <si>
    <t>クツベラを踵(かかと)の部分にあてる。</t>
  </si>
  <si>
    <t>前哨</t>
    <rPh sb="0" eb="2">
      <t>ゼn</t>
    </rPh>
    <phoneticPr fontId="1"/>
  </si>
  <si>
    <t>タイトルマッチのゼンショウ戦が始まった。</t>
  </si>
  <si>
    <t>とうとく</t>
    <phoneticPr fontId="1"/>
  </si>
  <si>
    <t>董督</t>
    <phoneticPr fontId="1"/>
  </si>
  <si>
    <t>取り締まること</t>
    <rPh sb="0" eb="1">
      <t>ト</t>
    </rPh>
    <rPh sb="2" eb="3">
      <t>シ</t>
    </rPh>
    <phoneticPr fontId="1"/>
  </si>
  <si>
    <t>みつぎ</t>
    <phoneticPr fontId="1"/>
  </si>
  <si>
    <t>賦を運ぶ</t>
    <rPh sb="2" eb="3">
      <t>ハコ</t>
    </rPh>
    <phoneticPr fontId="1"/>
  </si>
  <si>
    <t>み</t>
    <phoneticPr fontId="1"/>
  </si>
  <si>
    <t>箕を高く上げてふる</t>
    <rPh sb="2" eb="3">
      <t>タカ</t>
    </rPh>
    <rPh sb="4" eb="5">
      <t>ア</t>
    </rPh>
    <phoneticPr fontId="1"/>
  </si>
  <si>
    <t>とお</t>
    <phoneticPr fontId="1"/>
  </si>
  <si>
    <t>亨る</t>
    <phoneticPr fontId="1"/>
  </si>
  <si>
    <t>さしさわりなく</t>
    <phoneticPr fontId="1"/>
  </si>
  <si>
    <t>頰(頬)杖</t>
    <rPh sb="2" eb="3">
      <t>ホオ</t>
    </rPh>
    <rPh sb="4" eb="5">
      <t>ツエ</t>
    </rPh>
    <phoneticPr fontId="1"/>
  </si>
  <si>
    <t>机にホオヅエをついて考えている。</t>
  </si>
  <si>
    <t>汲汲</t>
    <rPh sb="0" eb="2">
      <t>キュウキュウ</t>
    </rPh>
    <phoneticPr fontId="1"/>
  </si>
  <si>
    <t>責任回避にキュウキュウとする。</t>
  </si>
  <si>
    <t>埴輪</t>
    <rPh sb="0" eb="2">
      <t>ハニワ</t>
    </rPh>
    <phoneticPr fontId="1"/>
  </si>
  <si>
    <t>古墳からハニワが出土した。</t>
  </si>
  <si>
    <t>雨樋</t>
    <rPh sb="0" eb="2">
      <t>アマドイ</t>
    </rPh>
    <phoneticPr fontId="1"/>
  </si>
  <si>
    <t>アマドイから水が流れてくる。</t>
  </si>
  <si>
    <t>蒲柳</t>
    <rPh sb="0" eb="2">
      <t>ホリュウ</t>
    </rPh>
    <phoneticPr fontId="1"/>
  </si>
  <si>
    <t>彼はホリュウの質で学校をよく休んでいた。</t>
  </si>
  <si>
    <t>御伽</t>
    <rPh sb="0" eb="1">
      <t>オ</t>
    </rPh>
    <rPh sb="1" eb="2">
      <t>トギ</t>
    </rPh>
    <phoneticPr fontId="1"/>
  </si>
  <si>
    <t>子供にオトギ話を聞かせる。</t>
  </si>
  <si>
    <t>鷲摑(掴)</t>
    <rPh sb="0" eb="1">
      <t>ワシ</t>
    </rPh>
    <rPh sb="3" eb="4">
      <t>ツカム</t>
    </rPh>
    <phoneticPr fontId="1"/>
  </si>
  <si>
    <t>書類をワシヅカみにして出て行った。</t>
  </si>
  <si>
    <t>木鐸</t>
    <rPh sb="0" eb="2">
      <t>ボクタク</t>
    </rPh>
    <phoneticPr fontId="1"/>
  </si>
  <si>
    <t>新聞は社会のボクタクであるべきだ。</t>
  </si>
  <si>
    <t>位牌</t>
    <rPh sb="0" eb="2">
      <t>イハイ</t>
    </rPh>
    <phoneticPr fontId="1"/>
  </si>
  <si>
    <t>仏壇にイハイを安置する。</t>
  </si>
  <si>
    <t>枇杷</t>
    <rPh sb="0" eb="2">
      <t>ビワ</t>
    </rPh>
    <phoneticPr fontId="1"/>
  </si>
  <si>
    <t>甘いビワを食べる。</t>
  </si>
  <si>
    <t>刺繡(繍)</t>
    <rPh sb="0" eb="2">
      <t>シシュウ</t>
    </rPh>
    <rPh sb="3" eb="4">
      <t>シュウ</t>
    </rPh>
    <phoneticPr fontId="1"/>
  </si>
  <si>
    <t>美しいシシュウが施されている</t>
  </si>
  <si>
    <t>遥々</t>
    <rPh sb="0" eb="2">
      <t>ハルバル</t>
    </rPh>
    <phoneticPr fontId="1"/>
  </si>
  <si>
    <t>四国の田舎からハルバルと訪ねて来た。</t>
  </si>
  <si>
    <t>大袈裟</t>
    <rPh sb="0" eb="3">
      <t>オオゲサ</t>
    </rPh>
    <phoneticPr fontId="1"/>
  </si>
  <si>
    <t>オオゲサにものを言う。</t>
  </si>
  <si>
    <t>寓意</t>
    <rPh sb="0" eb="2">
      <t>グウイ</t>
    </rPh>
    <phoneticPr fontId="1"/>
  </si>
  <si>
    <t>政治的なグウイを含んだ作品だ。</t>
  </si>
  <si>
    <t>宥</t>
    <rPh sb="0" eb="1">
      <t>ナダメル</t>
    </rPh>
    <phoneticPr fontId="1"/>
  </si>
  <si>
    <t>怒る相手をナダめる。</t>
  </si>
  <si>
    <t>逓増</t>
    <rPh sb="0" eb="2">
      <t>テイゾウ</t>
    </rPh>
    <phoneticPr fontId="1"/>
  </si>
  <si>
    <t>会社の売上がテイゾウしている。</t>
  </si>
  <si>
    <t>頸椎</t>
    <rPh sb="0" eb="2">
      <t>ケイツイ</t>
    </rPh>
    <phoneticPr fontId="1"/>
  </si>
  <si>
    <t>交通事故でケイツイを損傷した。</t>
  </si>
  <si>
    <t>泡沫</t>
    <rPh sb="0" eb="2">
      <t>ホウマツ</t>
    </rPh>
    <phoneticPr fontId="1"/>
  </si>
  <si>
    <t>当選可能性の低いホウマツ候補。</t>
  </si>
  <si>
    <t>斡旋</t>
    <rPh sb="0" eb="2">
      <t>アッセン</t>
    </rPh>
    <phoneticPr fontId="1"/>
  </si>
  <si>
    <t>彼に仕事をアッセンした。</t>
  </si>
  <si>
    <t>脆</t>
    <rPh sb="0" eb="1">
      <t>モロ</t>
    </rPh>
    <phoneticPr fontId="1"/>
  </si>
  <si>
    <t>経年劣化によりモロくなっている。</t>
  </si>
  <si>
    <t>鋸</t>
    <rPh sb="0" eb="1">
      <t>ノコギリ</t>
    </rPh>
    <phoneticPr fontId="1"/>
  </si>
  <si>
    <t>木材をノコギリで切る。</t>
  </si>
  <si>
    <t>攪乱</t>
    <rPh sb="0" eb="2">
      <t>カクラン</t>
    </rPh>
    <phoneticPr fontId="1"/>
  </si>
  <si>
    <t>国際秩序をカクランしている。</t>
  </si>
  <si>
    <t>跨</t>
    <rPh sb="0" eb="1">
      <t>マタ</t>
    </rPh>
    <phoneticPr fontId="1"/>
  </si>
  <si>
    <t>小川をマタぐ橋。</t>
  </si>
  <si>
    <t>彫琢</t>
    <rPh sb="0" eb="2">
      <t>チョウタク</t>
    </rPh>
    <phoneticPr fontId="1"/>
  </si>
  <si>
    <t>細部までチョウタクされた素晴らしい音楽だ。</t>
  </si>
  <si>
    <t>流暢</t>
    <rPh sb="0" eb="2">
      <t>リュウチョウ</t>
    </rPh>
    <phoneticPr fontId="1"/>
  </si>
  <si>
    <t>リュウチョウに日本語を話す。</t>
  </si>
  <si>
    <t>余禄</t>
    <rPh sb="0" eb="2">
      <t>ヨロク</t>
    </rPh>
    <phoneticPr fontId="1"/>
  </si>
  <si>
    <t>思わぬヨロクに与(あずか)る。</t>
  </si>
  <si>
    <t>釣瓶</t>
  </si>
  <si>
    <t>ツルベで井戸の水を汲む。</t>
  </si>
  <si>
    <t>錯綜</t>
    <rPh sb="0" eb="2">
      <t>サクソウ</t>
    </rPh>
    <phoneticPr fontId="1"/>
  </si>
  <si>
    <t>災害についての情報がサクソウする。</t>
  </si>
  <si>
    <t>儲</t>
    <rPh sb="0" eb="1">
      <t>モウケル</t>
    </rPh>
    <phoneticPr fontId="1"/>
  </si>
  <si>
    <t>三人の子供をモウけた。</t>
  </si>
  <si>
    <t>菱形</t>
    <rPh sb="0" eb="2">
      <t>ヒシガタ</t>
    </rPh>
    <phoneticPr fontId="1"/>
  </si>
  <si>
    <t>紙をヒシガタに切る。</t>
  </si>
  <si>
    <t>股肱</t>
    <rPh sb="0" eb="2">
      <t xml:space="preserve">ココウ </t>
    </rPh>
    <phoneticPr fontId="1"/>
  </si>
  <si>
    <t>豊臣秀吉のココウの臣として活躍した。</t>
  </si>
  <si>
    <t>林檎</t>
    <rPh sb="0" eb="2">
      <t>リンゴ</t>
    </rPh>
    <phoneticPr fontId="1"/>
  </si>
  <si>
    <t>真っ赤なリンゴを食べる。</t>
  </si>
  <si>
    <t xml:space="preserve">纏 </t>
  </si>
  <si>
    <t>戦争にマツわる話を聞く。</t>
  </si>
  <si>
    <t>にく</t>
    <phoneticPr fontId="1"/>
  </si>
  <si>
    <t>彼を悪んでも仕方がない。</t>
  </si>
  <si>
    <t>つかまつ</t>
  </si>
  <si>
    <t>承知仕りました。</t>
  </si>
  <si>
    <t>走狗</t>
    <rPh sb="0" eb="2">
      <t xml:space="preserve">ソウク </t>
    </rPh>
    <phoneticPr fontId="1"/>
  </si>
  <si>
    <t>権力のソウクのようなメディアだ。</t>
  </si>
  <si>
    <t>甑塵釜魚</t>
  </si>
  <si>
    <t>そうじんふぎょ</t>
    <phoneticPr fontId="1"/>
  </si>
  <si>
    <t>非常に貧乏なことのたとえ。甑に塵がつもり、釜に魚がわく、ということから。</t>
    <phoneticPr fontId="1"/>
  </si>
  <si>
    <t>駁</t>
    <rPh sb="0" eb="1">
      <t xml:space="preserve">バクス </t>
    </rPh>
    <phoneticPr fontId="1"/>
  </si>
  <si>
    <t>○○氏の○○論をバクす。</t>
  </si>
  <si>
    <t>桃李満門</t>
  </si>
  <si>
    <t>とうりまんもん</t>
    <phoneticPr fontId="1"/>
  </si>
  <si>
    <t>優れた人材が集まること。</t>
  </si>
  <si>
    <t>湿疹</t>
    <rPh sb="0" eb="2">
      <t>シッシn</t>
    </rPh>
    <phoneticPr fontId="1"/>
  </si>
  <si>
    <t>腕にできたシッシンがかゆくてたまらない。</t>
  </si>
  <si>
    <t>醍醐味</t>
    <rPh sb="0" eb="3">
      <t>ダイゴミ</t>
    </rPh>
    <phoneticPr fontId="1"/>
  </si>
  <si>
    <t>人生のダイゴミはこれからだ。</t>
  </si>
  <si>
    <t>啄</t>
    <rPh sb="0" eb="1">
      <t>ツイバム</t>
    </rPh>
    <phoneticPr fontId="1"/>
  </si>
  <si>
    <t>小鳥が餌をツイバむ。</t>
  </si>
  <si>
    <t>ひょううつ</t>
    <phoneticPr fontId="1"/>
  </si>
  <si>
    <t>彪蔚</t>
    <phoneticPr fontId="1"/>
  </si>
  <si>
    <t>模様が美しい</t>
    <rPh sb="0" eb="2">
      <t>モヨウ</t>
    </rPh>
    <rPh sb="3" eb="4">
      <t>ウツク</t>
    </rPh>
    <phoneticPr fontId="1"/>
  </si>
  <si>
    <t>飴</t>
    <rPh sb="0" eb="1">
      <t xml:space="preserve">アメ </t>
    </rPh>
    <phoneticPr fontId="1"/>
  </si>
  <si>
    <t>のどアメを舐める。</t>
  </si>
  <si>
    <t>藻屑</t>
    <rPh sb="0" eb="2">
      <t>モクズ</t>
    </rPh>
    <phoneticPr fontId="1"/>
  </si>
  <si>
    <t>海のモクズとなって消えた。</t>
  </si>
  <si>
    <t>盈虚</t>
    <rPh sb="0" eb="2">
      <t xml:space="preserve">エイキョ </t>
    </rPh>
    <phoneticPr fontId="1"/>
  </si>
  <si>
    <t>月のエイキョを観測する。</t>
  </si>
  <si>
    <t>捌</t>
    <rPh sb="0" eb="1">
      <t>ミズ</t>
    </rPh>
    <phoneticPr fontId="1"/>
  </si>
  <si>
    <t>水ハけのよい土を鉢に入れる。</t>
  </si>
  <si>
    <t>蕎麦</t>
    <rPh sb="0" eb="2">
      <t xml:space="preserve">ソバ </t>
    </rPh>
    <phoneticPr fontId="1"/>
  </si>
  <si>
    <t>昼食に天ぷらソバを食べる。</t>
  </si>
  <si>
    <t>尖</t>
    <rPh sb="0" eb="1">
      <t xml:space="preserve">トガル </t>
    </rPh>
    <phoneticPr fontId="1"/>
  </si>
  <si>
    <t>感染防止に神経をトガらせる。</t>
  </si>
  <si>
    <t>豊穣</t>
    <rPh sb="0" eb="2">
      <t>ホウジョウ</t>
    </rPh>
    <phoneticPr fontId="1"/>
  </si>
  <si>
    <t>五穀ホウジョウを神に祈る。</t>
  </si>
  <si>
    <t>煉瓦</t>
    <rPh sb="0" eb="2">
      <t xml:space="preserve">レンガ </t>
    </rPh>
    <phoneticPr fontId="1"/>
  </si>
  <si>
    <t>レンガ造りの建物が見える。</t>
  </si>
  <si>
    <t>鷹揚</t>
    <rPh sb="0" eb="2">
      <t>オウヨウ</t>
    </rPh>
    <phoneticPr fontId="1"/>
  </si>
  <si>
    <t>一喜一憂せず、オウヨウに構えていればよい。</t>
  </si>
  <si>
    <t>蛋白</t>
    <rPh sb="0" eb="2">
      <t xml:space="preserve">タンパク </t>
    </rPh>
    <phoneticPr fontId="1"/>
  </si>
  <si>
    <t>タンパク質が豊富な食材。</t>
  </si>
  <si>
    <t>窄</t>
    <rPh sb="0" eb="1">
      <t>スボメル</t>
    </rPh>
    <phoneticPr fontId="1"/>
  </si>
  <si>
    <t>計画は結局尻スボみに終わった。</t>
  </si>
  <si>
    <t>えんぜん</t>
    <phoneticPr fontId="1"/>
  </si>
  <si>
    <t>宛然たる喜劇の一面</t>
    <rPh sb="4" eb="6">
      <t>キゲキ</t>
    </rPh>
    <rPh sb="7" eb="9">
      <t>イチメン</t>
    </rPh>
    <phoneticPr fontId="1"/>
  </si>
  <si>
    <t>あたかも、まるで</t>
    <phoneticPr fontId="1"/>
  </si>
  <si>
    <t>石鹸</t>
    <rPh sb="0" eb="2">
      <t>セッケn</t>
    </rPh>
    <phoneticPr fontId="1"/>
  </si>
  <si>
    <t>セッケンで体を洗う。</t>
  </si>
  <si>
    <t>撞</t>
  </si>
  <si>
    <t>鐘をツく音が聞こえる。</t>
  </si>
  <si>
    <t>高嶺</t>
    <rPh sb="0" eb="2">
      <t>タカネ</t>
    </rPh>
    <phoneticPr fontId="1"/>
  </si>
  <si>
    <t>彼女はタカネの花のような存在だ。</t>
  </si>
  <si>
    <t>趨勢</t>
    <rPh sb="0" eb="2">
      <t>スウセイ</t>
    </rPh>
    <phoneticPr fontId="1"/>
  </si>
  <si>
    <t>時代のスウセイを読み取る。</t>
  </si>
  <si>
    <t>利鞘</t>
    <rPh sb="0" eb="2">
      <t xml:space="preserve">リザヤ </t>
    </rPh>
    <phoneticPr fontId="1"/>
  </si>
  <si>
    <t>不要品の売買でリザヤを稼ぐ。</t>
  </si>
  <si>
    <t>蒲鉾</t>
    <rPh sb="0" eb="2">
      <t xml:space="preserve">カマボコ </t>
    </rPh>
    <phoneticPr fontId="1"/>
  </si>
  <si>
    <t>お弁当にカマボコを入れる。</t>
  </si>
  <si>
    <t>知悉</t>
    <rPh sb="0" eb="2">
      <t>チシテゥ</t>
    </rPh>
    <phoneticPr fontId="1"/>
  </si>
  <si>
    <t>彼は会社の内情をチシツしている。</t>
  </si>
  <si>
    <t>操舵</t>
    <rPh sb="0" eb="2">
      <t xml:space="preserve">ソウダ </t>
    </rPh>
    <phoneticPr fontId="1"/>
  </si>
  <si>
    <t>船長がソウダする船。</t>
  </si>
  <si>
    <t>抜擢</t>
    <rPh sb="0" eb="2">
      <t>バッテキ</t>
    </rPh>
    <phoneticPr fontId="1"/>
  </si>
  <si>
    <t>主役にバッテキされた。</t>
  </si>
  <si>
    <t>満腔</t>
  </si>
  <si>
    <t>先生にマンコウの敬意を表す。</t>
  </si>
  <si>
    <t>よな</t>
    <phoneticPr fontId="1"/>
  </si>
  <si>
    <t>淘げる</t>
    <phoneticPr fontId="1"/>
  </si>
  <si>
    <t>米粒を水で揺らして選別</t>
    <rPh sb="0" eb="1">
      <t>コメ</t>
    </rPh>
    <rPh sb="1" eb="2">
      <t>ツブ</t>
    </rPh>
    <rPh sb="3" eb="4">
      <t>ミズ</t>
    </rPh>
    <rPh sb="5" eb="6">
      <t>ユ</t>
    </rPh>
    <rPh sb="9" eb="11">
      <t>センベツ</t>
    </rPh>
    <phoneticPr fontId="1"/>
  </si>
  <si>
    <t>そら</t>
    <phoneticPr fontId="1"/>
  </si>
  <si>
    <t>日本国憲法前文を暗んじた。</t>
  </si>
  <si>
    <t>洞窟</t>
    <rPh sb="0" eb="2">
      <t>ドウクテゥ</t>
    </rPh>
    <phoneticPr fontId="1"/>
  </si>
  <si>
    <t>山奥で奇妙なドウクツを見つけた。</t>
  </si>
  <si>
    <t>あき</t>
    <phoneticPr fontId="1"/>
  </si>
  <si>
    <t>燦らか</t>
    <rPh sb="0" eb="1">
      <t>サン</t>
    </rPh>
    <phoneticPr fontId="1"/>
  </si>
  <si>
    <t>なげ</t>
    <phoneticPr fontId="1"/>
  </si>
  <si>
    <t>歎く</t>
    <phoneticPr fontId="1"/>
  </si>
  <si>
    <t>悲しむ</t>
    <rPh sb="0" eb="1">
      <t>カナ</t>
    </rPh>
    <phoneticPr fontId="1"/>
  </si>
  <si>
    <t>ふけ</t>
    <phoneticPr fontId="1"/>
  </si>
  <si>
    <t>耽る</t>
    <rPh sb="0" eb="1">
      <t>フケ</t>
    </rPh>
    <phoneticPr fontId="1"/>
  </si>
  <si>
    <t>おしはか</t>
    <phoneticPr fontId="1"/>
  </si>
  <si>
    <t>臆る</t>
    <phoneticPr fontId="1"/>
  </si>
  <si>
    <t>臆度</t>
    <rPh sb="1" eb="2">
      <t>ド</t>
    </rPh>
    <phoneticPr fontId="1"/>
  </si>
  <si>
    <t>くぎ</t>
    <phoneticPr fontId="1"/>
  </si>
  <si>
    <t>劃る</t>
    <phoneticPr fontId="1"/>
  </si>
  <si>
    <t>劃定</t>
  </si>
  <si>
    <t>しょうちょう</t>
    <phoneticPr fontId="1"/>
  </si>
  <si>
    <t>鐘寵</t>
    <rPh sb="1" eb="2">
      <t>チョウ</t>
    </rPh>
    <phoneticPr fontId="1"/>
  </si>
  <si>
    <t>鐘める</t>
    <phoneticPr fontId="1"/>
  </si>
  <si>
    <t>はざま</t>
    <phoneticPr fontId="1"/>
  </si>
  <si>
    <t>硲</t>
    <rPh sb="0" eb="1">
      <t>ハザマ</t>
    </rPh>
    <phoneticPr fontId="1"/>
  </si>
  <si>
    <t>窺</t>
    <rPh sb="0" eb="1">
      <t xml:space="preserve">ウカガウ </t>
    </rPh>
    <phoneticPr fontId="1"/>
  </si>
  <si>
    <t>敵の様子をウカガう。</t>
  </si>
  <si>
    <t>伝播</t>
    <rPh sb="0" eb="2">
      <t>デンパ</t>
    </rPh>
    <phoneticPr fontId="1"/>
  </si>
  <si>
    <t>様々な文化が西洋からデンパした。</t>
  </si>
  <si>
    <t>弄</t>
    <rPh sb="0" eb="1">
      <t xml:space="preserve">モテアソ </t>
    </rPh>
    <phoneticPr fontId="1"/>
  </si>
  <si>
    <t>策をロウしたのが裏目に出た。</t>
  </si>
  <si>
    <t>かな</t>
  </si>
  <si>
    <t>目的に協う商品だ。</t>
  </si>
  <si>
    <t>目的に適った商品だ。</t>
  </si>
  <si>
    <t>剃髪</t>
    <rPh sb="0" eb="2">
      <t>テイハテゥ</t>
    </rPh>
    <phoneticPr fontId="1"/>
  </si>
  <si>
    <t>テイハツして仏門にはいる。</t>
  </si>
  <si>
    <t>煎餅</t>
  </si>
  <si>
    <t>おやつにセンベイを食べる。</t>
  </si>
  <si>
    <t>概</t>
    <rPh sb="0" eb="1">
      <t>オオムネ</t>
    </rPh>
    <phoneticPr fontId="1"/>
  </si>
  <si>
    <t>先生の話はオオムね理解できた。</t>
  </si>
  <si>
    <t xml:space="preserve">庇 </t>
  </si>
  <si>
    <t>ヒサシで日焼けを防ぐ。</t>
  </si>
  <si>
    <t>伽藍</t>
  </si>
  <si>
    <t>立派なガランを見学する。</t>
  </si>
  <si>
    <t>ながら</t>
    <phoneticPr fontId="1"/>
  </si>
  <si>
    <t>命を存える事が出来た。</t>
  </si>
  <si>
    <t>波濤万里</t>
  </si>
  <si>
    <t>はとうばんり</t>
    <phoneticPr fontId="1"/>
  </si>
  <si>
    <t>はるか遠くの外国のこと。</t>
  </si>
  <si>
    <t>鉤縄規矩</t>
  </si>
  <si>
    <t>こうじょうきく</t>
    <phoneticPr fontId="1"/>
  </si>
  <si>
    <t>物事の基準や法則となるもの。</t>
  </si>
  <si>
    <t>張三李四</t>
  </si>
  <si>
    <t>ちょうさんりし</t>
    <phoneticPr fontId="1"/>
  </si>
  <si>
    <t>名の知れない人。平凡な人。</t>
  </si>
  <si>
    <t>凌駕・陵駕</t>
    <rPh sb="0" eb="2">
      <t xml:space="preserve">リョウガ </t>
    </rPh>
    <phoneticPr fontId="1"/>
  </si>
  <si>
    <t>想像を遥かにリョウガする。</t>
  </si>
  <si>
    <t>糊口</t>
  </si>
  <si>
    <t>日雇いの仕事でココウを凌ぐ。</t>
  </si>
  <si>
    <t>義侠</t>
    <rPh sb="0" eb="2">
      <t>ギキョウ</t>
    </rPh>
    <phoneticPr fontId="1"/>
  </si>
  <si>
    <t>彼はギキョウ心に富む人物であった。</t>
  </si>
  <si>
    <t>鞍替</t>
    <rPh sb="0" eb="2">
      <t>クラガエ</t>
    </rPh>
    <phoneticPr fontId="1"/>
  </si>
  <si>
    <t>記者から小説家にクラガえする。</t>
  </si>
  <si>
    <t>大腿</t>
    <rPh sb="0" eb="2">
      <t>ダイタイ</t>
    </rPh>
    <phoneticPr fontId="1"/>
  </si>
  <si>
    <t>ダイタイ骨が痛む。</t>
  </si>
  <si>
    <t xml:space="preserve">屍 </t>
  </si>
  <si>
    <t>生きるシカバネと化す。</t>
  </si>
  <si>
    <t>蕨</t>
    <rPh sb="0" eb="1">
      <t>ワラビ</t>
    </rPh>
    <phoneticPr fontId="1"/>
  </si>
  <si>
    <t>ワラビ餅を食べる。</t>
  </si>
  <si>
    <t>寵児</t>
    <rPh sb="0" eb="2">
      <t xml:space="preserve">チョウジ </t>
    </rPh>
    <phoneticPr fontId="1"/>
  </si>
  <si>
    <t>彼は一躍、時代のチョウジとなった。</t>
  </si>
  <si>
    <t>醬油</t>
  </si>
  <si>
    <t>ショウユ味が好みだ。</t>
  </si>
  <si>
    <t>悶悶</t>
    <rPh sb="0" eb="2">
      <t xml:space="preserve">モンモン </t>
    </rPh>
    <phoneticPr fontId="1"/>
  </si>
  <si>
    <t>学生時代はモンモンとした日々を送っていた。</t>
  </si>
  <si>
    <t>毅然</t>
    <rPh sb="0" eb="2">
      <t>キゼn</t>
    </rPh>
    <phoneticPr fontId="1"/>
  </si>
  <si>
    <t>キゼンとした態度で対応する。</t>
  </si>
  <si>
    <t>溺愛</t>
  </si>
  <si>
    <t>一人息子をデキアイする。</t>
  </si>
  <si>
    <t>紺碧</t>
  </si>
  <si>
    <t>コンペキの空が美しい。</t>
  </si>
  <si>
    <t>塗</t>
  </si>
  <si>
    <t>ほこりマミれになって掃除する。</t>
  </si>
  <si>
    <t>退嬰</t>
  </si>
  <si>
    <t>タイエイ的な精神を一新する。</t>
  </si>
  <si>
    <t>灌漑</t>
    <rPh sb="0" eb="2">
      <t xml:space="preserve">カンガイ </t>
    </rPh>
    <phoneticPr fontId="1"/>
  </si>
  <si>
    <t>川の水でカンガイする。</t>
  </si>
  <si>
    <t xml:space="preserve">梗概 </t>
  </si>
  <si>
    <t>論文のコウガイを書く。</t>
  </si>
  <si>
    <t>爾来</t>
    <rPh sb="0" eb="2">
      <t>ジライ</t>
    </rPh>
    <phoneticPr fontId="1"/>
  </si>
  <si>
    <t>彼からはジライ音沙汰無しだ。</t>
  </si>
  <si>
    <t>うらな</t>
    <phoneticPr fontId="1"/>
  </si>
  <si>
    <t>卦い</t>
    <phoneticPr fontId="1"/>
  </si>
  <si>
    <t>はかりごと</t>
    <phoneticPr fontId="1"/>
  </si>
  <si>
    <t>謀</t>
  </si>
  <si>
    <t>わんせん</t>
    <phoneticPr fontId="1"/>
  </si>
  <si>
    <t>腕釧</t>
    <rPh sb="0" eb="1">
      <t>ウデ</t>
    </rPh>
    <rPh sb="1" eb="2">
      <t>セン</t>
    </rPh>
    <phoneticPr fontId="1"/>
  </si>
  <si>
    <t>仏像の装身具</t>
    <rPh sb="0" eb="2">
      <t>ブツゾウ</t>
    </rPh>
    <rPh sb="3" eb="6">
      <t>ソウシング</t>
    </rPh>
    <phoneticPr fontId="1"/>
  </si>
  <si>
    <t>あ</t>
    <phoneticPr fontId="1"/>
  </si>
  <si>
    <t>肯えて</t>
    <rPh sb="0" eb="1">
      <t>ウベナ</t>
    </rPh>
    <phoneticPr fontId="1"/>
  </si>
  <si>
    <t>舌鋒</t>
    <rPh sb="0" eb="2">
      <t>ゼッポウ</t>
    </rPh>
    <phoneticPr fontId="1"/>
  </si>
  <si>
    <t>ゼッポウ鋭く反論する。</t>
  </si>
  <si>
    <t>こうつう</t>
    <phoneticPr fontId="1"/>
  </si>
  <si>
    <t>享通</t>
    <rPh sb="1" eb="2">
      <t>ツウ</t>
    </rPh>
    <phoneticPr fontId="1"/>
  </si>
  <si>
    <t>よどみなく事が運ぶ</t>
    <rPh sb="5" eb="6">
      <t>コト</t>
    </rPh>
    <rPh sb="7" eb="8">
      <t>ハコ</t>
    </rPh>
    <phoneticPr fontId="1"/>
  </si>
  <si>
    <t>えんげき</t>
    <phoneticPr fontId="1"/>
  </si>
  <si>
    <t>掩撃</t>
    <rPh sb="1" eb="2">
      <t>ゲキ</t>
    </rPh>
    <phoneticPr fontId="1"/>
  </si>
  <si>
    <t>箪(簞)笥</t>
  </si>
  <si>
    <t>洋服をタンスにしまう。</t>
  </si>
  <si>
    <t>赤手空拳</t>
  </si>
  <si>
    <t>せきしゅくうけん</t>
    <phoneticPr fontId="1"/>
  </si>
  <si>
    <t>助けを借りずに自分一人で物事を行うこと。</t>
  </si>
  <si>
    <t>強靭(靱)</t>
  </si>
  <si>
    <t>キョウジンな肉体を作り上げる。</t>
  </si>
  <si>
    <t>晩餐</t>
    <rPh sb="0" eb="2">
      <t>バンサn</t>
    </rPh>
    <phoneticPr fontId="1"/>
  </si>
  <si>
    <t>王室のバンサン会に招かれる。</t>
  </si>
  <si>
    <t>黙禱</t>
    <rPh sb="0" eb="2">
      <t xml:space="preserve">モクトウ </t>
    </rPh>
    <phoneticPr fontId="1"/>
  </si>
  <si>
    <t>亡くなった友にモクトウを捧げる。</t>
  </si>
  <si>
    <t>喧</t>
    <rPh sb="0" eb="1">
      <t xml:space="preserve">カマビス </t>
    </rPh>
    <phoneticPr fontId="1"/>
  </si>
  <si>
    <t>蝉がカマビスしく鳴く。</t>
  </si>
  <si>
    <t>罫線</t>
    <rPh sb="0" eb="2">
      <t>ケイセn</t>
    </rPh>
    <phoneticPr fontId="1"/>
  </si>
  <si>
    <t>ケイセンを引いて表を作る。</t>
  </si>
  <si>
    <t>啓蒙</t>
    <rPh sb="0" eb="2">
      <t>ケイモウ</t>
    </rPh>
    <phoneticPr fontId="1"/>
  </si>
  <si>
    <t>若者をケイモウする。</t>
  </si>
  <si>
    <t>煤煙</t>
    <rPh sb="0" eb="2">
      <t>バイエn</t>
    </rPh>
    <phoneticPr fontId="1"/>
  </si>
  <si>
    <t>工場のバイエンを問題視する。</t>
  </si>
  <si>
    <t>辟易</t>
    <rPh sb="0" eb="2">
      <t>ヘキエキ</t>
    </rPh>
    <phoneticPr fontId="1"/>
  </si>
  <si>
    <t>あまりの人の多さにヘキエキする。</t>
  </si>
  <si>
    <t>芳醇</t>
  </si>
  <si>
    <t>ホウジュンなワインをグラスに注ぐ。</t>
  </si>
  <si>
    <t>円</t>
  </si>
  <si>
    <t>ツブらな瞳で見ている。</t>
  </si>
  <si>
    <t>燦燦（粲粲）</t>
  </si>
  <si>
    <t>サンサンと輝く太陽。</t>
  </si>
  <si>
    <t>不倶戴天</t>
    <rPh sb="0" eb="4">
      <t>フグタイテn</t>
    </rPh>
    <phoneticPr fontId="1"/>
  </si>
  <si>
    <t>ふぐたいてん</t>
    <phoneticPr fontId="1"/>
  </si>
  <si>
    <t>報復しなければやまないほど憎しみが深いこと。</t>
  </si>
  <si>
    <t>挺</t>
    <phoneticPr fontId="1"/>
  </si>
  <si>
    <t>身をテイして守る。</t>
  </si>
  <si>
    <t>糠漬</t>
    <rPh sb="0" eb="2">
      <t>ヌカズケ</t>
    </rPh>
    <phoneticPr fontId="1"/>
  </si>
  <si>
    <t>きゅうりのヌカヅけをいただく。</t>
  </si>
  <si>
    <t>堰堤</t>
    <rPh sb="0" eb="2">
      <t>エンテイ</t>
    </rPh>
    <phoneticPr fontId="1"/>
  </si>
  <si>
    <t>豪雨による影響で砂防エンテイが決壊した。</t>
  </si>
  <si>
    <t>億劫</t>
    <rPh sb="0" eb="2">
      <t>オックウ</t>
    </rPh>
    <phoneticPr fontId="1"/>
  </si>
  <si>
    <t>暑くて外に出るのがオックウだ。</t>
  </si>
  <si>
    <t>怯</t>
    <rPh sb="0" eb="1">
      <t>ヒル</t>
    </rPh>
    <phoneticPr fontId="1"/>
  </si>
  <si>
    <t>ヒルむことなく立ち向かう。</t>
  </si>
  <si>
    <t>茜</t>
    <rPh sb="0" eb="1">
      <t>アカネ</t>
    </rPh>
    <phoneticPr fontId="1"/>
  </si>
  <si>
    <t>アカネ色に染まった空を見上げる。</t>
  </si>
  <si>
    <t>紡錘</t>
    <rPh sb="0" eb="2">
      <t>ボウスイ</t>
    </rPh>
    <phoneticPr fontId="1"/>
  </si>
  <si>
    <t>ラグビーボールはボウスイ形だ。</t>
  </si>
  <si>
    <t>辿</t>
    <rPh sb="0" eb="1">
      <t xml:space="preserve">タドル </t>
    </rPh>
    <phoneticPr fontId="1"/>
  </si>
  <si>
    <t>同じ道をタドることになりそうだ。</t>
  </si>
  <si>
    <t>仰臥</t>
    <rPh sb="0" eb="2">
      <t xml:space="preserve">ギョウガ </t>
    </rPh>
    <phoneticPr fontId="1"/>
  </si>
  <si>
    <t>ベッドの上にギョウガする。</t>
  </si>
  <si>
    <t>撫</t>
  </si>
  <si>
    <t>子犬の頭をナでる。</t>
  </si>
  <si>
    <t>尾鰭</t>
    <rPh sb="0" eb="2">
      <t>オヒレ</t>
    </rPh>
    <phoneticPr fontId="1"/>
  </si>
  <si>
    <t>話にオヒレをつける。</t>
  </si>
  <si>
    <t>馬鈴薯</t>
    <rPh sb="0" eb="3">
      <t>バレイショ</t>
    </rPh>
    <phoneticPr fontId="1"/>
  </si>
  <si>
    <t>バレイショの収穫が始まった。</t>
  </si>
  <si>
    <t>教鞭</t>
  </si>
  <si>
    <t>アメリカの大学でキョウベンを執っている。</t>
  </si>
  <si>
    <t>淘汰</t>
    <rPh sb="0" eb="2">
      <t>トウタ</t>
    </rPh>
    <phoneticPr fontId="1"/>
  </si>
  <si>
    <t>時代の変化によってトウタされる。</t>
  </si>
  <si>
    <t>馳</t>
  </si>
  <si>
    <t>その時代に思いをハせる。</t>
  </si>
  <si>
    <t>点滴穿石</t>
  </si>
  <si>
    <t>てんてきせんせき</t>
    <phoneticPr fontId="1"/>
  </si>
  <si>
    <t>少しの努力でもつづけていれば、いずれ成功するということ。</t>
  </si>
  <si>
    <t>いしぶみ</t>
    <phoneticPr fontId="1"/>
  </si>
  <si>
    <t>碑に書かれた詩を読む。</t>
  </si>
  <si>
    <t>うべな</t>
    <phoneticPr fontId="1"/>
  </si>
  <si>
    <t>それを父が諾うとは思えない。</t>
  </si>
  <si>
    <t>しる</t>
    <phoneticPr fontId="1"/>
  </si>
  <si>
    <t>自分の名前を署す。</t>
  </si>
  <si>
    <t>気が狂れるくらいの衝撃だった。</t>
  </si>
  <si>
    <t>かど</t>
    <phoneticPr fontId="1"/>
  </si>
  <si>
    <t>横領の廉で逮捕される。</t>
  </si>
  <si>
    <t>朝蠅暮蚊</t>
  </si>
  <si>
    <t>ちょうようぼぶん</t>
    <phoneticPr fontId="1"/>
  </si>
  <si>
    <t>つまらない者たちがはびこることのたとえ。</t>
  </si>
  <si>
    <t>なかだち</t>
  </si>
  <si>
    <t>彼が二人の媒をした。</t>
  </si>
  <si>
    <t>ぬ、ひ</t>
  </si>
  <si>
    <t>本棚から本を抽く。</t>
  </si>
  <si>
    <t>おぎ</t>
  </si>
  <si>
    <t>河川敷に荻が群生している。</t>
  </si>
  <si>
    <t>そうさい</t>
  </si>
  <si>
    <t>蚤歳にして成し遂げた。</t>
  </si>
  <si>
    <t>かいそう</t>
  </si>
  <si>
    <t>敵はことごとく潰走した。</t>
  </si>
  <si>
    <t>じょうじょう</t>
    <phoneticPr fontId="1"/>
  </si>
  <si>
    <t>蔚蔚</t>
    <phoneticPr fontId="1"/>
  </si>
  <si>
    <t>草木の生い茂り</t>
    <rPh sb="0" eb="2">
      <t>クサキ</t>
    </rPh>
    <rPh sb="3" eb="4">
      <t>オ</t>
    </rPh>
    <rPh sb="5" eb="6">
      <t>シゲ</t>
    </rPh>
    <phoneticPr fontId="1"/>
  </si>
  <si>
    <t>くら</t>
    <phoneticPr fontId="1"/>
  </si>
  <si>
    <t>昧い</t>
    <phoneticPr fontId="1"/>
  </si>
  <si>
    <t>檮(梼)昧:愚かなさま</t>
    <rPh sb="6" eb="7">
      <t>オロ</t>
    </rPh>
    <phoneticPr fontId="1"/>
  </si>
  <si>
    <t>百尺竿頭</t>
    <rPh sb="0" eb="4">
      <t>ヒャクシャクカントウ</t>
    </rPh>
    <phoneticPr fontId="1"/>
  </si>
  <si>
    <t>ひゃくしゃくかんとう</t>
    <phoneticPr fontId="1"/>
  </si>
  <si>
    <t>向上し得る極点。</t>
  </si>
  <si>
    <t>ささ</t>
    <phoneticPr fontId="1"/>
  </si>
  <si>
    <t>細やか</t>
    <phoneticPr fontId="1"/>
  </si>
  <si>
    <t>盲亀浮木</t>
  </si>
  <si>
    <t>もうきふぼく</t>
    <phoneticPr fontId="1"/>
  </si>
  <si>
    <t>出会うことが容易でないことのたとえ。</t>
  </si>
  <si>
    <t>かたど</t>
    <phoneticPr fontId="1"/>
  </si>
  <si>
    <t>動物を象ったお菓子。</t>
  </si>
  <si>
    <t>よ、え、すぐ</t>
    <phoneticPr fontId="1"/>
  </si>
  <si>
    <t>バーゲンで良品を選る。</t>
  </si>
  <si>
    <t>なずら、なぞら</t>
  </si>
  <si>
    <t>天体を宝石に擬えた。</t>
  </si>
  <si>
    <t>きお</t>
    <phoneticPr fontId="1"/>
  </si>
  <si>
    <t>競い込んで出て行った。</t>
  </si>
  <si>
    <t>業界の将来を患える。</t>
  </si>
  <si>
    <t>じょう</t>
    <phoneticPr fontId="1"/>
  </si>
  <si>
    <t>尉と姥(うば)。</t>
  </si>
  <si>
    <t>めあ</t>
    <phoneticPr fontId="1"/>
  </si>
  <si>
    <t>彼に娘を妻わせる。</t>
  </si>
  <si>
    <t>ここを終のすみかとしよう。</t>
  </si>
  <si>
    <t>旧套墨守</t>
  </si>
  <si>
    <t>きゅうとうぼくしゅ</t>
    <phoneticPr fontId="1"/>
  </si>
  <si>
    <t>古い習慣を改めることなく守り続けること。</t>
  </si>
  <si>
    <t>陶犬瓦鶏</t>
  </si>
  <si>
    <t>とうけんがけい</t>
    <phoneticPr fontId="1"/>
  </si>
  <si>
    <t>形や外見だけで、中身は役に立たないこと。</t>
  </si>
  <si>
    <t>白兎赤烏</t>
  </si>
  <si>
    <t>はくとせきう</t>
    <phoneticPr fontId="1"/>
  </si>
  <si>
    <t>時間のこと。</t>
  </si>
  <si>
    <t>前虎後狼</t>
  </si>
  <si>
    <t>ぜんここうろう</t>
    <phoneticPr fontId="1"/>
  </si>
  <si>
    <t>災難が続けて起こること。</t>
  </si>
  <si>
    <t>臥薪嘗胆</t>
  </si>
  <si>
    <t>がしんしょうたん</t>
    <phoneticPr fontId="1"/>
  </si>
  <si>
    <t>敵を討つために、長い間苦労に耐え努力すること。</t>
  </si>
  <si>
    <t>文質彬彬</t>
  </si>
  <si>
    <t>ぶんしつひんぴん</t>
    <phoneticPr fontId="1"/>
  </si>
  <si>
    <t>外見の美しさと内面の調和がとれていること。</t>
  </si>
  <si>
    <t>李下瓜田</t>
  </si>
  <si>
    <t>りかかでん</t>
    <phoneticPr fontId="1"/>
  </si>
  <si>
    <t>疑われるようなことはするなというたとえ。</t>
  </si>
  <si>
    <t>剛毅果断</t>
  </si>
  <si>
    <t>ごうきかだん</t>
    <phoneticPr fontId="1"/>
  </si>
  <si>
    <t>意志が強くしっかりしていていて、決断力があるさま。</t>
  </si>
  <si>
    <t>一碧万頃</t>
  </si>
  <si>
    <t>いっぺきばんけい</t>
    <phoneticPr fontId="1"/>
  </si>
  <si>
    <t>水面が限りなく広がっているさま。</t>
  </si>
  <si>
    <t>永劫回帰</t>
  </si>
  <si>
    <t>えいごうかいき</t>
    <phoneticPr fontId="1"/>
  </si>
  <si>
    <t>同じことが永遠に繰り返されること。</t>
  </si>
  <si>
    <t>まこと</t>
  </si>
  <si>
    <t>実に嬉しいことだ。</t>
  </si>
  <si>
    <t>夢か将現実か。</t>
  </si>
  <si>
    <t>せんけん</t>
  </si>
  <si>
    <t>蟬蜎たる美人の姿があった。</t>
  </si>
  <si>
    <t>吉日良辰</t>
  </si>
  <si>
    <t>きちじつりょうしん</t>
    <phoneticPr fontId="1"/>
  </si>
  <si>
    <t>縁起の良い日のこと。</t>
  </si>
  <si>
    <t>蚊虻走牛</t>
  </si>
  <si>
    <t>ぶんぼうそうぎゅう</t>
    <phoneticPr fontId="1"/>
  </si>
  <si>
    <t>小さなものでも強大なものを制することができることのたとえ。</t>
  </si>
  <si>
    <t>みだ</t>
    <phoneticPr fontId="1"/>
  </si>
  <si>
    <t>擾れる</t>
    <phoneticPr fontId="1"/>
  </si>
  <si>
    <t>荊妻豚児</t>
    <phoneticPr fontId="1"/>
  </si>
  <si>
    <t>けいさいとんじ</t>
    <phoneticPr fontId="1"/>
  </si>
  <si>
    <t>自分の妻子の謙称。</t>
  </si>
  <si>
    <t>欣求浄土</t>
  </si>
  <si>
    <t>ごんぐじょうど</t>
    <phoneticPr fontId="1"/>
  </si>
  <si>
    <t>喜んで極楽往生を願うこと。</t>
  </si>
  <si>
    <t>輪廻転生</t>
  </si>
  <si>
    <t>りんねてんしょう</t>
    <phoneticPr fontId="1"/>
  </si>
  <si>
    <t>生死が繰り返されること。</t>
  </si>
  <si>
    <t>泡沫夢幻</t>
  </si>
  <si>
    <t>ほうまつむげん</t>
    <phoneticPr fontId="1"/>
  </si>
  <si>
    <t>はかないことのたとえ。</t>
  </si>
  <si>
    <t>東窺西望</t>
  </si>
  <si>
    <t>とうきせいぼう</t>
    <phoneticPr fontId="1"/>
  </si>
  <si>
    <t>落ち着きのない様子。</t>
  </si>
  <si>
    <t>曲学阿世</t>
  </si>
  <si>
    <t>きょくがくあせい</t>
    <phoneticPr fontId="1"/>
  </si>
  <si>
    <t>真理をまげて、権力者や世間に気に入られようとすること。</t>
  </si>
  <si>
    <t>凄凄切切</t>
  </si>
  <si>
    <t>せいせいせつせつ</t>
    <phoneticPr fontId="1"/>
  </si>
  <si>
    <t>非常に物さびしいさま。</t>
  </si>
  <si>
    <t>只管打坐</t>
  </si>
  <si>
    <t>しかんたざ</t>
    <phoneticPr fontId="1"/>
  </si>
  <si>
    <t>ひたすら座禅を組むこと。</t>
  </si>
  <si>
    <t>堅牢堅固</t>
  </si>
  <si>
    <t>けんろうけんご</t>
    <phoneticPr fontId="1"/>
  </si>
  <si>
    <t>非常に丈夫なこと。</t>
  </si>
  <si>
    <t>綾羅錦繡</t>
  </si>
  <si>
    <t>りょうらきんしゅう</t>
    <phoneticPr fontId="1"/>
  </si>
  <si>
    <t>美しい衣服のこと。また、美しく着飾ることをいう。</t>
  </si>
  <si>
    <t>魚目燕石</t>
  </si>
  <si>
    <t>ぎょもくえんせき</t>
    <phoneticPr fontId="1"/>
  </si>
  <si>
    <t>外見は似ているが、内面は似ても似つかないこと。にせもの。</t>
  </si>
  <si>
    <t>亡羊補牢</t>
  </si>
  <si>
    <t>ぼうようほろう</t>
    <phoneticPr fontId="1"/>
  </si>
  <si>
    <t>失敗したあとで、慌てて改善すること。</t>
  </si>
  <si>
    <t>旭日昇天</t>
  </si>
  <si>
    <t>きょくじつしょうてん</t>
    <phoneticPr fontId="1"/>
  </si>
  <si>
    <t>勢いが盛んなこと。</t>
  </si>
  <si>
    <t>尭風舜雨</t>
  </si>
  <si>
    <t>ぎょうふうしゅんう</t>
    <phoneticPr fontId="1"/>
  </si>
  <si>
    <t>太平の世の中のたとえ。中国の伝説上の聖天子である「尭」と「舜」による恩恵を雨風にたとえていう言葉。</t>
    <phoneticPr fontId="1"/>
  </si>
  <si>
    <t>杯酒解怨</t>
  </si>
  <si>
    <t>はいしゅかいえん</t>
    <phoneticPr fontId="1"/>
  </si>
  <si>
    <t>酒を酌み交わし、仲直りすること。</t>
  </si>
  <si>
    <t>烏飛兎走</t>
  </si>
  <si>
    <t>うひとそう</t>
    <phoneticPr fontId="1"/>
  </si>
  <si>
    <t>月日のたつのが早いこと。</t>
  </si>
  <si>
    <t>沈魚落雁</t>
  </si>
  <si>
    <t>ちんぎょらくがん</t>
    <phoneticPr fontId="1"/>
  </si>
  <si>
    <t>並外れた美人のたとえ。</t>
  </si>
  <si>
    <t>郁郁青青</t>
  </si>
  <si>
    <t>いくいくせいせい</t>
    <phoneticPr fontId="1"/>
  </si>
  <si>
    <t>草花が生い茂り、よい香りを漂わせているさま。</t>
  </si>
  <si>
    <t>妖言惑衆</t>
  </si>
  <si>
    <t>ようげんわくしゅう</t>
    <phoneticPr fontId="1"/>
  </si>
  <si>
    <t>あやしい言葉で人々をまどわすこと。</t>
  </si>
  <si>
    <t>草茅危言</t>
  </si>
  <si>
    <t>そうぼうきげん</t>
    <phoneticPr fontId="1"/>
  </si>
  <si>
    <t>国政に対する民間人の批判。</t>
  </si>
  <si>
    <t>雲竜井蛙</t>
  </si>
  <si>
    <t>うんりゅうせいあ</t>
    <phoneticPr fontId="1"/>
  </si>
  <si>
    <t>地位などの差が非常に大きいことのたとえ。</t>
  </si>
  <si>
    <t>気息奄奄</t>
  </si>
  <si>
    <t>きそくえんえん</t>
    <phoneticPr fontId="1"/>
  </si>
  <si>
    <t>今にも死にそうな状態。</t>
  </si>
  <si>
    <t>屋梁落月</t>
  </si>
  <si>
    <t>おくりょうらくげつ</t>
    <phoneticPr fontId="1"/>
  </si>
  <si>
    <t>友人を思う切な心。</t>
  </si>
  <si>
    <t>体貌閑雅</t>
  </si>
  <si>
    <t>たいぼうかんが</t>
    <phoneticPr fontId="1"/>
  </si>
  <si>
    <t>容姿が落ち着いていて、上品なさま。</t>
  </si>
  <si>
    <t>欣喜雀躍</t>
  </si>
  <si>
    <t>かんきじゃくやく</t>
    <phoneticPr fontId="1"/>
  </si>
  <si>
    <t>おどりあがって喜ぶこと。</t>
  </si>
  <si>
    <t>容貌魁偉</t>
  </si>
  <si>
    <t>ようぼうかいい</t>
    <phoneticPr fontId="1"/>
  </si>
  <si>
    <t>顔や体が立派で、しっかりしているさま。</t>
  </si>
  <si>
    <t>円木警枕</t>
  </si>
  <si>
    <t>えんぼくけいちん</t>
    <phoneticPr fontId="1"/>
  </si>
  <si>
    <t>寝る間も惜しんで、勉学に励むたとえ。</t>
  </si>
  <si>
    <t>杜撰脱漏</t>
  </si>
  <si>
    <t>ずさんだつろう</t>
    <phoneticPr fontId="1"/>
  </si>
  <si>
    <t>著述などが粗雑で、誤りや手抜かりが多いこと。</t>
  </si>
  <si>
    <t>落筆点蠅</t>
  </si>
  <si>
    <t>らくひつてんよう</t>
    <phoneticPr fontId="1"/>
  </si>
  <si>
    <t>失敗を逆手にとって、うまく仕上げること。</t>
  </si>
  <si>
    <t>胡乱</t>
    <rPh sb="0" eb="2">
      <t>ウロn</t>
    </rPh>
    <phoneticPr fontId="1"/>
  </si>
  <si>
    <t>ウロンな輩が出入りしている。</t>
  </si>
  <si>
    <t>蔓延</t>
    <rPh sb="0" eb="2">
      <t>ハビコル</t>
    </rPh>
    <phoneticPr fontId="1"/>
  </si>
  <si>
    <t>暴力がハビコる街。</t>
  </si>
  <si>
    <t>搔</t>
  </si>
  <si>
    <t>会社の運転資金をカき集める。</t>
  </si>
  <si>
    <t>いた</t>
  </si>
  <si>
    <t>現在の状況を戚む。</t>
  </si>
  <si>
    <t>かくせい</t>
  </si>
  <si>
    <t>組織の腐敗を廓清する。</t>
  </si>
  <si>
    <t>蕪雑</t>
    <rPh sb="0" eb="2">
      <t>ブザツ</t>
    </rPh>
    <phoneticPr fontId="1"/>
  </si>
  <si>
    <t>ブザツな文章を整える。</t>
  </si>
  <si>
    <t>檜</t>
    <rPh sb="0" eb="1">
      <t>ヒノキ</t>
    </rPh>
    <phoneticPr fontId="1"/>
  </si>
  <si>
    <t>世界のヒノキ舞台に立つ。</t>
  </si>
  <si>
    <t>豹変</t>
    <rPh sb="0" eb="2">
      <t>ヒョウ</t>
    </rPh>
    <phoneticPr fontId="1"/>
  </si>
  <si>
    <t>断った途端に態度がヒョウヘンした。</t>
  </si>
  <si>
    <t>柑橘</t>
    <rPh sb="0" eb="2">
      <t>カンキテゥ</t>
    </rPh>
    <phoneticPr fontId="1"/>
  </si>
  <si>
    <t>カンキツ系の良い香りがする。</t>
  </si>
  <si>
    <t>薬餌</t>
    <rPh sb="0" eb="2">
      <t>ヤクゼィ</t>
    </rPh>
    <phoneticPr fontId="1"/>
  </si>
  <si>
    <t>手術はせずにヤクジ療法で様子を見る。</t>
  </si>
  <si>
    <t>席捲</t>
    <rPh sb="0" eb="2">
      <t xml:space="preserve">セッケン </t>
    </rPh>
    <phoneticPr fontId="1"/>
  </si>
  <si>
    <t>世界をセッケンする巨大IT企業。</t>
  </si>
  <si>
    <t>恰幅</t>
    <rPh sb="0" eb="2">
      <t>カップク</t>
    </rPh>
    <phoneticPr fontId="1"/>
  </si>
  <si>
    <t>カップクのよい男性。</t>
  </si>
  <si>
    <t>金蔓</t>
    <rPh sb="0" eb="2">
      <t>カネズル</t>
    </rPh>
    <phoneticPr fontId="1"/>
  </si>
  <si>
    <t>都合のよいカネヅルとして利用された。</t>
  </si>
  <si>
    <t>甲斐性</t>
    <rPh sb="0" eb="3">
      <t>カイショウ</t>
    </rPh>
    <phoneticPr fontId="1"/>
  </si>
  <si>
    <t>彼はカイショウのない男だ。</t>
  </si>
  <si>
    <t>途轍</t>
    <rPh sb="0" eb="2">
      <t xml:space="preserve">トテツ </t>
    </rPh>
    <phoneticPr fontId="1"/>
  </si>
  <si>
    <t>相手はトテツもなく強かった。</t>
  </si>
  <si>
    <t>とりし</t>
    <phoneticPr fontId="1"/>
  </si>
  <si>
    <t>一定の範囲を轄まる。</t>
  </si>
  <si>
    <t>猛禽</t>
    <rPh sb="0" eb="2">
      <t>モウキn</t>
    </rPh>
    <phoneticPr fontId="1"/>
  </si>
  <si>
    <t>鷲や鷹などのモウキン類。</t>
  </si>
  <si>
    <t>しめ</t>
  </si>
  <si>
    <t>標が張りめぐらしてある。</t>
  </si>
  <si>
    <t>へつら</t>
  </si>
  <si>
    <t>上司に便う。</t>
  </si>
  <si>
    <t>じんじゅく</t>
  </si>
  <si>
    <t>稔熟の時を迎えた。</t>
  </si>
  <si>
    <t>ろうしゅく</t>
  </si>
  <si>
    <t>二十八宿の一つに婁宿がある。</t>
  </si>
  <si>
    <t>とんぼく</t>
  </si>
  <si>
    <t>彼は敦朴な人柄だ。</t>
  </si>
  <si>
    <t>やや</t>
  </si>
  <si>
    <t>動もすれば怠けがちになる。</t>
  </si>
  <si>
    <t>けたい</t>
  </si>
  <si>
    <t>卦体が悪い。</t>
  </si>
  <si>
    <t>じゅたい</t>
  </si>
  <si>
    <t>送った手紙が濡滞していた。</t>
  </si>
  <si>
    <t>じゅんしゃく</t>
  </si>
  <si>
    <t>空海が各地を巡錫する。</t>
  </si>
  <si>
    <t>らんじゅほうしょう</t>
  </si>
  <si>
    <t>藍綬褒章を受章した。</t>
  </si>
  <si>
    <t>なま</t>
    <phoneticPr fontId="1"/>
  </si>
  <si>
    <t>鈍った</t>
    <rPh sb="0" eb="1">
      <t>ニブ</t>
    </rPh>
    <phoneticPr fontId="1"/>
  </si>
  <si>
    <t>くり</t>
  </si>
  <si>
    <t>本堂の右奥に庫裡がある。</t>
  </si>
  <si>
    <t>えんてい</t>
  </si>
  <si>
    <t>河川に堰堤を設ける。</t>
  </si>
  <si>
    <t>せんびゅう</t>
  </si>
  <si>
    <t>舛謬を指摘する。</t>
  </si>
  <si>
    <t>ちょう</t>
  </si>
  <si>
    <t>壁に絵を貼する。</t>
  </si>
  <si>
    <t>しゅうおく</t>
  </si>
  <si>
    <t>公園内に葺屋が保存されている。</t>
  </si>
  <si>
    <t>碧血丹心</t>
  </si>
  <si>
    <t>へきけつたんしん</t>
    <phoneticPr fontId="1"/>
  </si>
  <si>
    <t>非常に強い忠誠心。また、真心のこと。</t>
  </si>
  <si>
    <t>雄心勃勃</t>
  </si>
  <si>
    <t>ゆうしんぼつぼつ</t>
    <phoneticPr fontId="1"/>
  </si>
  <si>
    <t>勇ましい気持ちや、強い意志がわいてくるさま。</t>
  </si>
  <si>
    <t>飯を炊ぐ。</t>
  </si>
  <si>
    <t>猪口才</t>
    <rPh sb="0" eb="3">
      <t xml:space="preserve">チョコザイ </t>
    </rPh>
    <phoneticPr fontId="1"/>
  </si>
  <si>
    <t>チョコザイな事をするな。</t>
  </si>
  <si>
    <t>稜線</t>
  </si>
  <si>
    <t>山々のリョウセンがはっきりと見える。</t>
  </si>
  <si>
    <t>玩物喪志</t>
    <phoneticPr fontId="1"/>
  </si>
  <si>
    <t>がんぶつそうし</t>
    <phoneticPr fontId="1"/>
  </si>
  <si>
    <t>無駄と思われるようなものに心を奪われて、大切な志を疎かにすること。</t>
  </si>
  <si>
    <t>魯般雲梯</t>
  </si>
  <si>
    <t>ろはんうんてい</t>
    <phoneticPr fontId="1"/>
  </si>
  <si>
    <t>名工が作った高いはしご。</t>
  </si>
  <si>
    <t>煩悩菩提</t>
  </si>
  <si>
    <t>ぼんのうぼだい</t>
    <phoneticPr fontId="1"/>
  </si>
  <si>
    <t>迷いも悟りをひらくきっかけになるということ。</t>
  </si>
  <si>
    <t>城狐社鼠</t>
  </si>
  <si>
    <t>じょうこしゃそ</t>
    <phoneticPr fontId="1"/>
  </si>
  <si>
    <t>主君のそばにいる、よこしまな家来。また、それを排除するのが難しいことのたとえ。</t>
  </si>
  <si>
    <t>一蓮托生</t>
  </si>
  <si>
    <t>いちれんたくしょう</t>
    <phoneticPr fontId="1"/>
  </si>
  <si>
    <t>良くも悪くも運命・行動を共にすること。</t>
  </si>
  <si>
    <t>嵐影湖光</t>
    <phoneticPr fontId="1"/>
  </si>
  <si>
    <t>らんえいここう</t>
    <phoneticPr fontId="1"/>
  </si>
  <si>
    <t>もやに包まれた山の姿と光る湖面の景色。</t>
  </si>
  <si>
    <t>賢明愚昧</t>
  </si>
  <si>
    <t>けんめいぐまい</t>
    <phoneticPr fontId="1"/>
  </si>
  <si>
    <t>賢いことと、おろかなこと。</t>
  </si>
  <si>
    <t>虚心坦懐</t>
    <phoneticPr fontId="1"/>
  </si>
  <si>
    <t>きょしんたんかい</t>
    <phoneticPr fontId="1"/>
  </si>
  <si>
    <t>心に何のわだかまりもないさま。</t>
  </si>
  <si>
    <t>黄塵万丈</t>
  </si>
  <si>
    <t>こうじんばんじょう</t>
    <phoneticPr fontId="1"/>
  </si>
  <si>
    <t>土煙が空高くまいあがるさま。</t>
  </si>
  <si>
    <t>鱗次櫛比</t>
  </si>
  <si>
    <t>りんじしっぴ</t>
    <phoneticPr fontId="1"/>
  </si>
  <si>
    <t>整然と並ぶこと。</t>
  </si>
  <si>
    <t>獅子奮迅</t>
  </si>
  <si>
    <t>ししふんじん</t>
    <phoneticPr fontId="1"/>
  </si>
  <si>
    <t>勢いが非常に盛んなさま。</t>
  </si>
  <si>
    <t>焚書坑儒</t>
  </si>
  <si>
    <t>ふんしょこうじゅ</t>
    <phoneticPr fontId="1"/>
  </si>
  <si>
    <t>秦の始皇帝が紀元前213年に行った思想弾圧。</t>
  </si>
  <si>
    <t>傲岸不遜</t>
  </si>
  <si>
    <t>ごうがんふそん</t>
    <phoneticPr fontId="1"/>
  </si>
  <si>
    <t>偉そうにいばりちらし、相手を見下すさま。</t>
  </si>
  <si>
    <t>鶏鳴狗盗</t>
  </si>
  <si>
    <t>けいめいくとう</t>
    <phoneticPr fontId="1"/>
  </si>
  <si>
    <t>小策を弄する卑しい者。また、くだらない技能でも何かの役に立つというたとえ。</t>
  </si>
  <si>
    <t>紅毛碧眼</t>
  </si>
  <si>
    <t>こうもうへきがん</t>
    <phoneticPr fontId="1"/>
  </si>
  <si>
    <t>西洋人。</t>
  </si>
  <si>
    <t>熱願冷諦</t>
  </si>
  <si>
    <t>ねつがんれいてい</t>
    <phoneticPr fontId="1"/>
  </si>
  <si>
    <t>熱心に願うことと、落ち着いて見極めること。</t>
  </si>
  <si>
    <t>長汀曲浦</t>
  </si>
  <si>
    <t>ちょうていきょくほ</t>
    <phoneticPr fontId="1"/>
  </si>
  <si>
    <t>曲がりくねってはるか遠くまで続いている海岸線。</t>
  </si>
  <si>
    <t>周章狼狽</t>
  </si>
  <si>
    <t>しゅうしょうろうばい</t>
    <phoneticPr fontId="1"/>
  </si>
  <si>
    <t>慌てふためくこと。</t>
  </si>
  <si>
    <t>自然淘汰</t>
  </si>
  <si>
    <t>しぜんとうた</t>
    <phoneticPr fontId="1"/>
  </si>
  <si>
    <t>時間の経過とともに、良いものが残り、悪いものが滅びること。</t>
  </si>
  <si>
    <t>運否天賦</t>
  </si>
  <si>
    <t>うんぷてんぷ</t>
    <phoneticPr fontId="1"/>
  </si>
  <si>
    <t>人の運の良し悪しは天が決めるということ。</t>
  </si>
  <si>
    <t>鳶飛魚躍</t>
  </si>
  <si>
    <t>えんぴぎょやく</t>
    <phoneticPr fontId="1"/>
  </si>
  <si>
    <t>万物が本性に従い、自由に楽しんでいることのたとえ。</t>
  </si>
  <si>
    <t>釜底抽薪</t>
  </si>
  <si>
    <t>ふていちゅうしん</t>
    <phoneticPr fontId="1"/>
  </si>
  <si>
    <t>問題を解決するには、根底にある原因を取り除かなければならないということ。</t>
  </si>
  <si>
    <t>名声赫赫</t>
  </si>
  <si>
    <t>めいせいかくかく</t>
    <phoneticPr fontId="1"/>
  </si>
  <si>
    <t>よい評判が盛んなさま。</t>
  </si>
  <si>
    <t>碩学大儒</t>
  </si>
  <si>
    <t>せきがくたいじゅ</t>
    <phoneticPr fontId="1"/>
  </si>
  <si>
    <t>広く深い学識をもつ非常に優れた学者。</t>
  </si>
  <si>
    <t>漁網鴻離</t>
  </si>
  <si>
    <t>ぎょもうこうり</t>
    <phoneticPr fontId="1"/>
  </si>
  <si>
    <t>求めた物と実際に得た物が異なること。</t>
  </si>
  <si>
    <t>街談巷説</t>
  </si>
  <si>
    <t>がいだんこうせつ</t>
    <phoneticPr fontId="1"/>
  </si>
  <si>
    <t>世間に流れるうわさ話。</t>
  </si>
  <si>
    <t>天保九如</t>
  </si>
  <si>
    <t>てんぽうきゅうじょ</t>
    <phoneticPr fontId="1"/>
  </si>
  <si>
    <t>人の長寿を祈る言葉。</t>
  </si>
  <si>
    <t>熟読玩味</t>
  </si>
  <si>
    <t>じゅくどくがんみ</t>
    <phoneticPr fontId="1"/>
  </si>
  <si>
    <t>文章などをじっくりと読んで、内容をよく味わうこと。</t>
  </si>
  <si>
    <t>鷹視狼歩</t>
  </si>
  <si>
    <t>ようしろうほ</t>
  </si>
  <si>
    <t>荒々しく欲深で、残忍な人物のたとえ。また、隙を見せない勇猛な豪傑のたとえ。</t>
  </si>
  <si>
    <t>不失正鵠</t>
  </si>
  <si>
    <t>ふしつせいこく</t>
    <phoneticPr fontId="1"/>
  </si>
  <si>
    <t>物事の要点を正確にとらえること。</t>
  </si>
  <si>
    <t>曖昧模糊</t>
  </si>
  <si>
    <t>あいまいもこ</t>
    <phoneticPr fontId="1"/>
  </si>
  <si>
    <t>ぼんやりしていて、はっきりしない様子。</t>
  </si>
  <si>
    <t>社燕秋鴻</t>
  </si>
  <si>
    <t>しゃえんしゅうこう</t>
    <phoneticPr fontId="1"/>
  </si>
  <si>
    <t>出会ってすぐに別れることのたとえ。</t>
  </si>
  <si>
    <t>竹頭木屑</t>
  </si>
  <si>
    <t>ちくとうぼくせつ</t>
    <phoneticPr fontId="1"/>
  </si>
  <si>
    <t>一見、役に立たなそうなもの。また、些細なことも疎かにしないことのたとえ。</t>
  </si>
  <si>
    <t>鎧袖一触</t>
  </si>
  <si>
    <t>がいしゅういっしょく</t>
    <phoneticPr fontId="1"/>
  </si>
  <si>
    <t>たやすく敵を打ち負かすこと。</t>
  </si>
  <si>
    <t>尺璧非宝</t>
  </si>
  <si>
    <t>せきへきひほう</t>
    <phoneticPr fontId="1"/>
  </si>
  <si>
    <t>時間は非常に貴重なものであるということ。</t>
  </si>
  <si>
    <t>一世木鐸</t>
  </si>
  <si>
    <t>いっせいぼくたく</t>
    <phoneticPr fontId="1"/>
  </si>
  <si>
    <t>世の人々の指導者のこと。</t>
  </si>
  <si>
    <t>蓬頭垢面</t>
  </si>
  <si>
    <t>ほうとうこうめん</t>
    <phoneticPr fontId="1"/>
  </si>
  <si>
    <t>身だしなみがだらしなく、汚いさま。</t>
  </si>
  <si>
    <t>内股膏薬</t>
  </si>
  <si>
    <t>うちまたごうやく</t>
    <phoneticPr fontId="1"/>
  </si>
  <si>
    <t>定まった信念や意見などがなく、その時々に応じて自分の都合の良い立場を取ること。また、そのような人のこと。</t>
  </si>
  <si>
    <t>自家撞着</t>
  </si>
  <si>
    <t>じかどうちゃく</t>
    <phoneticPr fontId="1"/>
  </si>
  <si>
    <t>同じ人の言動などが、前後で矛盾していること。</t>
  </si>
  <si>
    <t>泰山鴻毛</t>
  </si>
  <si>
    <t>たいざんこうもう</t>
    <phoneticPr fontId="1"/>
  </si>
  <si>
    <t>非常に重いものと非常に軽いもの。隔たりが甚だしいこと。</t>
  </si>
  <si>
    <t>通暁暢達</t>
  </si>
  <si>
    <t>つうぎょうちょうたつ</t>
    <phoneticPr fontId="1"/>
  </si>
  <si>
    <t>ある事柄について非常に詳しく、言葉や文章がのびのびしていて分かりやすいさま。</t>
  </si>
  <si>
    <t>天佑神助</t>
  </si>
  <si>
    <t>てんゆうしんじょ</t>
    <phoneticPr fontId="1"/>
  </si>
  <si>
    <t>天や神による助け。</t>
  </si>
  <si>
    <t>牽強附会</t>
    <phoneticPr fontId="1"/>
  </si>
  <si>
    <t>けんきょうふかい</t>
    <phoneticPr fontId="1"/>
  </si>
  <si>
    <t>自分の都合の良いように、理屈を強引にこじつけること。</t>
  </si>
  <si>
    <t>行住坐臥</t>
  </si>
  <si>
    <t>ぎょうじゅうざが</t>
    <phoneticPr fontId="1"/>
  </si>
  <si>
    <t>日常、常日頃。</t>
  </si>
  <si>
    <t>水天一碧</t>
  </si>
  <si>
    <t>すいてんいっぺき</t>
    <phoneticPr fontId="1"/>
  </si>
  <si>
    <t>海と空とが一続きになって、青々としていること。</t>
  </si>
  <si>
    <t>醇風美俗</t>
  </si>
  <si>
    <t>じゅんぷうびぞく</t>
    <phoneticPr fontId="1"/>
  </si>
  <si>
    <t>人情が厚くてよい風俗。</t>
  </si>
  <si>
    <t>飛鷹走狗</t>
  </si>
  <si>
    <t>ひようそうく</t>
    <phoneticPr fontId="1"/>
  </si>
  <si>
    <t>狩猟をすること。</t>
  </si>
  <si>
    <t>啐啄同時</t>
  </si>
  <si>
    <t>そったくどうじ</t>
    <phoneticPr fontId="1"/>
  </si>
  <si>
    <t>絶好の好機。また、禅宗で師が、今まさに悟りを開こうとしている弟子を後押しすること。</t>
  </si>
  <si>
    <t>朝盈夕虚</t>
  </si>
  <si>
    <t>ちょうえいせききょ</t>
    <phoneticPr fontId="1"/>
  </si>
  <si>
    <t>人生の儚いことのたとえ。</t>
  </si>
  <si>
    <t>天神地祇</t>
  </si>
  <si>
    <t>てんじんちぎ</t>
    <phoneticPr fontId="1"/>
  </si>
  <si>
    <t>あらゆる神々のこと。</t>
  </si>
  <si>
    <t>舌端月旦</t>
  </si>
  <si>
    <t>ぜったんげったん</t>
    <phoneticPr fontId="1"/>
  </si>
  <si>
    <t>口先で人を批評すること。</t>
  </si>
  <si>
    <t>錦心繡口</t>
    <phoneticPr fontId="1"/>
  </si>
  <si>
    <t>きんしんしゅうこう</t>
    <phoneticPr fontId="1"/>
  </si>
  <si>
    <t>詩や文章の才能が優れていること。</t>
  </si>
  <si>
    <t>胡馬北風</t>
  </si>
  <si>
    <t>こばほくふう</t>
    <phoneticPr fontId="1"/>
  </si>
  <si>
    <t>故郷を思い出すことのたとえ。</t>
  </si>
  <si>
    <t>笑面夜叉</t>
  </si>
  <si>
    <t>しょうめんやしゃ</t>
    <phoneticPr fontId="1"/>
  </si>
  <si>
    <t>見た目は笑っていても、心の中では相反するような別のことを考えていること。</t>
  </si>
  <si>
    <t>ひとしお</t>
    <phoneticPr fontId="1"/>
  </si>
  <si>
    <t>負け続けていただけに喜びも一入だった。</t>
  </si>
  <si>
    <t>にわ</t>
    <phoneticPr fontId="1"/>
  </si>
  <si>
    <t>勃かに</t>
    <phoneticPr fontId="1"/>
  </si>
  <si>
    <t>かんが</t>
    <phoneticPr fontId="1"/>
  </si>
  <si>
    <t>稽う</t>
    <rPh sb="0" eb="1">
      <t>ケイ</t>
    </rPh>
    <phoneticPr fontId="1"/>
  </si>
  <si>
    <t>古色蒼然</t>
  </si>
  <si>
    <t>こしょくそうぜん</t>
    <phoneticPr fontId="1"/>
  </si>
  <si>
    <t>いかにも古めかしいさま。</t>
  </si>
  <si>
    <t>閑雲野鶴</t>
  </si>
  <si>
    <t>かんうんやかく</t>
    <phoneticPr fontId="1"/>
  </si>
  <si>
    <t>何の束縛もないこと。</t>
  </si>
  <si>
    <t>ちんしょ</t>
  </si>
  <si>
    <t>砧杵を打ち下ろす。</t>
  </si>
  <si>
    <t>しじろ</t>
  </si>
  <si>
    <t>之字路を歩む。</t>
  </si>
  <si>
    <t>てつじゅん</t>
  </si>
  <si>
    <t>鉄楯で身を守る。</t>
  </si>
  <si>
    <t>ほうじん</t>
  </si>
  <si>
    <t>豊稔を祈願する。</t>
  </si>
  <si>
    <t>しそく</t>
  </si>
  <si>
    <t>紙燭を持って廊下を歩く。</t>
  </si>
  <si>
    <t>諜報</t>
    <rPh sb="0" eb="2">
      <t>チョウホウ</t>
    </rPh>
    <phoneticPr fontId="1"/>
  </si>
  <si>
    <t>チョウホウ活動により重要な情報を入手した。</t>
  </si>
  <si>
    <t>通牒</t>
    <rPh sb="0" eb="2">
      <t>ツウチョウ</t>
    </rPh>
    <phoneticPr fontId="1"/>
  </si>
  <si>
    <t>最後ツウチョウを突きつけられた。</t>
  </si>
  <si>
    <t>ついしゅ</t>
  </si>
  <si>
    <t>高価な堆朱の皿が飾ってある。</t>
    <phoneticPr fontId="1"/>
  </si>
  <si>
    <t>不惜身命</t>
  </si>
  <si>
    <t>ふしゃくしんみょう</t>
    <phoneticPr fontId="1"/>
  </si>
  <si>
    <t>仏道を修めるためなら命も惜しまないこと。そのような決意や態度。</t>
  </si>
  <si>
    <t>融通無碍</t>
  </si>
  <si>
    <t>ゆうずうむげ</t>
    <phoneticPr fontId="1"/>
  </si>
  <si>
    <t>決まった考え方や行動などに、とらわれることがなく自由なこと。</t>
  </si>
  <si>
    <t>風餐露宿</t>
  </si>
  <si>
    <t>ふうさんろしゅく</t>
    <phoneticPr fontId="1"/>
  </si>
  <si>
    <t>野宿すること。</t>
  </si>
  <si>
    <t>杓子定規</t>
  </si>
  <si>
    <t>しゃくしじょうぎ</t>
    <phoneticPr fontId="1"/>
  </si>
  <si>
    <t>あらゆる事柄を、既存の規則や基準に当てはめようとすること。融通の利かないさま。</t>
  </si>
  <si>
    <t>麦秀黍離</t>
  </si>
  <si>
    <t>ばくしゅうしょり</t>
    <phoneticPr fontId="1"/>
  </si>
  <si>
    <t>滅亡した国を嘆くこと。</t>
  </si>
  <si>
    <t>詫</t>
    <rPh sb="0" eb="1">
      <t>ワ</t>
    </rPh>
    <phoneticPr fontId="1"/>
  </si>
  <si>
    <t>遅れてしまったことをワびる。</t>
  </si>
  <si>
    <t>冶金踊躍</t>
  </si>
  <si>
    <t>やきんようやく</t>
    <phoneticPr fontId="1"/>
  </si>
  <si>
    <t>自分の置かれている立場に満足できないこと。</t>
  </si>
  <si>
    <t>簞食瓢飲</t>
  </si>
  <si>
    <t>たんしひょういん</t>
    <phoneticPr fontId="1"/>
  </si>
  <si>
    <t>質素な飲食物。また、貧しい暮らしに安んずること。</t>
  </si>
  <si>
    <t>し</t>
  </si>
  <si>
    <t>用心するに如くは無し。</t>
  </si>
  <si>
    <t>あた</t>
  </si>
  <si>
    <t>能う限り早く仕上げる。</t>
  </si>
  <si>
    <t>すた</t>
  </si>
  <si>
    <t>この辺りは朽れてしまった。</t>
  </si>
  <si>
    <t>みごも</t>
  </si>
  <si>
    <t>子供を妊る。</t>
  </si>
  <si>
    <t>きんこう</t>
  </si>
  <si>
    <t>要害の地を衿喉という。</t>
  </si>
  <si>
    <t>放蕩無頼</t>
  </si>
  <si>
    <t>ほうとうぶらい</t>
    <phoneticPr fontId="1"/>
  </si>
  <si>
    <t>酒におぼれ、無法であること。</t>
  </si>
  <si>
    <t>孟母三遷</t>
  </si>
  <si>
    <t>もうぼさんせん</t>
    <phoneticPr fontId="1"/>
  </si>
  <si>
    <t>教育には環境が大事ということ。</t>
  </si>
  <si>
    <t>芝蘭玉樹</t>
  </si>
  <si>
    <t>しらんぎょくじゅ</t>
    <phoneticPr fontId="1"/>
  </si>
  <si>
    <t>優れた人材や子弟。また他人の優れた子弟を褒めていう言葉。</t>
  </si>
  <si>
    <t>純情可憐</t>
  </si>
  <si>
    <t>じゅんじょうかれん</t>
    <phoneticPr fontId="1"/>
  </si>
  <si>
    <t>けがれがなく、素直でかわいらしいこと。</t>
  </si>
  <si>
    <t>狐狸妖怪</t>
  </si>
  <si>
    <t>こりようかい</t>
    <phoneticPr fontId="1"/>
  </si>
  <si>
    <t>人をだましたり、恐怖を与える化け物のこと。</t>
  </si>
  <si>
    <t>一張一弛</t>
  </si>
  <si>
    <t>いっちょういっし</t>
    <phoneticPr fontId="1"/>
  </si>
  <si>
    <t>物事を強めたり弱めたりすること。また、厳格さと寛大さを使い分けて、人をうまく動かすこと。</t>
  </si>
  <si>
    <t>首鼠両端</t>
  </si>
  <si>
    <t>しゅそりょうたん</t>
    <phoneticPr fontId="1"/>
  </si>
  <si>
    <t>どちらを取るか、迷って決めかねていること。</t>
  </si>
  <si>
    <t>犬牙相制</t>
  </si>
  <si>
    <t>けんがそうせい</t>
    <phoneticPr fontId="1"/>
  </si>
  <si>
    <t>隣り合う国の国境が入り組んだ状態で、互いに牽制すること。</t>
  </si>
  <si>
    <t>河山帯礪</t>
  </si>
  <si>
    <t>かざんたいれい</t>
    <phoneticPr fontId="1"/>
  </si>
  <si>
    <t>永遠に変わらない堅い誓約のたとえ。また、国が永久に栄えることのたとえ。</t>
  </si>
  <si>
    <t>加持祈禱</t>
  </si>
  <si>
    <t>かじきとう</t>
    <phoneticPr fontId="1"/>
  </si>
  <si>
    <t>病気や災難などから救われるために祈ること。</t>
  </si>
  <si>
    <t>卿相雲客</t>
  </si>
  <si>
    <t>けいしょううんかく</t>
    <phoneticPr fontId="1"/>
  </si>
  <si>
    <t>身分の高い人。</t>
  </si>
  <si>
    <t>伏竜鳳雛</t>
  </si>
  <si>
    <t>ふくりゅうほうすう</t>
    <phoneticPr fontId="1"/>
  </si>
  <si>
    <t>隠れていて、まだ世に知られていない偉大な人物のたとえ。</t>
  </si>
  <si>
    <t>嘉辰令月</t>
  </si>
  <si>
    <t>かしんれいげつ</t>
    <phoneticPr fontId="1"/>
  </si>
  <si>
    <t>めでたい日と、めでたい月。</t>
  </si>
  <si>
    <t>趨炎附熱</t>
  </si>
  <si>
    <t>すうえんふねつ</t>
    <phoneticPr fontId="1"/>
  </si>
  <si>
    <t>その時、権力のある者につき従うこと。</t>
  </si>
  <si>
    <t>孝悌忠信</t>
  </si>
  <si>
    <t>こうていちゅうしん</t>
    <phoneticPr fontId="1"/>
  </si>
  <si>
    <t>真心を尽くして、目上の人に仕えること。</t>
  </si>
  <si>
    <t>捧腹絶倒</t>
  </si>
  <si>
    <t>ほうふくぜっとう</t>
    <phoneticPr fontId="1"/>
  </si>
  <si>
    <t>ひっくり返るほどに大笑いすること。</t>
  </si>
  <si>
    <t>鬼斧神工</t>
  </si>
  <si>
    <t>きふしんこう</t>
    <phoneticPr fontId="1"/>
  </si>
  <si>
    <t>人間が作ったとは思えないような、優れた作品や細工のこと。</t>
  </si>
  <si>
    <t>玄圃積玉</t>
  </si>
  <si>
    <t>げんぽせきぎょく</t>
    <phoneticPr fontId="1"/>
  </si>
  <si>
    <t>美しい文章のたとえ。</t>
  </si>
  <si>
    <t>冠履顚倒</t>
  </si>
  <si>
    <t>かんりてんとう</t>
    <phoneticPr fontId="1"/>
  </si>
  <si>
    <t>上下の順序が乱れて逆になること。</t>
  </si>
  <si>
    <t>六菖十菊</t>
  </si>
  <si>
    <t>りくしょうじっきく</t>
    <phoneticPr fontId="1"/>
  </si>
  <si>
    <t>時期が遅れて、役に立たないことのたとえ。</t>
  </si>
  <si>
    <t>参差錯落</t>
  </si>
  <si>
    <t>しんしさくらく</t>
    <phoneticPr fontId="1"/>
  </si>
  <si>
    <t>一様ではなく、不揃いなものが入りまじるさま。</t>
  </si>
  <si>
    <t>酒囊飯袋</t>
  </si>
  <si>
    <t>しゅのうはんたい</t>
    <phoneticPr fontId="1"/>
  </si>
  <si>
    <t>無能の人。役に立たない人。</t>
  </si>
  <si>
    <t>稲麻竹葦</t>
  </si>
  <si>
    <t>とうまちくい</t>
    <phoneticPr fontId="1"/>
  </si>
  <si>
    <t>多くのものが入り乱れていること。また、周りを幾重にも取り囲んでいるさま。</t>
  </si>
  <si>
    <t>ちょうこう</t>
  </si>
  <si>
    <t>釣鉤に糸をつける。</t>
  </si>
  <si>
    <t>たいせい</t>
  </si>
  <si>
    <t>碓声が聞こえる。</t>
  </si>
  <si>
    <t>情緒纏綿</t>
  </si>
  <si>
    <t>じょうちょてんめん</t>
    <phoneticPr fontId="1"/>
  </si>
  <si>
    <t>趣、雰囲気、感慨といったものが心にまとわりついて離れないさま。</t>
  </si>
  <si>
    <t>春蛙秋蟬</t>
  </si>
  <si>
    <t>しゅんあしゅうぜん</t>
    <phoneticPr fontId="1"/>
  </si>
  <si>
    <t>無用の言論のたとえ。</t>
  </si>
  <si>
    <t>True or False</t>
    <phoneticPr fontId="1"/>
  </si>
  <si>
    <t>0</t>
  </si>
  <si>
    <t>契約に署名する前に</t>
    <rPh sb="0" eb="2">
      <t>ケイヤク</t>
    </rPh>
    <rPh sb="3" eb="5">
      <t>ショメイ</t>
    </rPh>
    <rPh sb="7" eb="8">
      <t>マエ</t>
    </rPh>
    <phoneticPr fontId="1"/>
  </si>
  <si>
    <t>before signing a contract</t>
  </si>
  <si>
    <t>提案に目を通す</t>
    <rPh sb="0" eb="2">
      <t>テイアン</t>
    </rPh>
    <rPh sb="3" eb="4">
      <t>メ</t>
    </rPh>
    <rPh sb="5" eb="6">
      <t>トオ</t>
    </rPh>
    <phoneticPr fontId="1"/>
  </si>
  <si>
    <t>review a proposal</t>
    <phoneticPr fontId="1"/>
  </si>
  <si>
    <t>3年保証</t>
    <rPh sb="1" eb="4">
      <t>ネンホショウ</t>
    </rPh>
    <phoneticPr fontId="1"/>
  </si>
  <si>
    <t>a three-year warranty</t>
  </si>
  <si>
    <t>職務内容の説明</t>
    <rPh sb="0" eb="4">
      <t>ショクムナイヨウ</t>
    </rPh>
    <rPh sb="5" eb="7">
      <t>セツメイ</t>
    </rPh>
    <phoneticPr fontId="1"/>
  </si>
  <si>
    <t>a job description</t>
  </si>
  <si>
    <t>このお知らせは誰に向けられていますか？</t>
    <rPh sb="3" eb="4">
      <t>シ</t>
    </rPh>
    <rPh sb="7" eb="8">
      <t>ダレ</t>
    </rPh>
    <rPh sb="9" eb="10">
      <t>ム</t>
    </rPh>
    <phoneticPr fontId="1"/>
  </si>
  <si>
    <t>For whom is the notice intended?</t>
  </si>
  <si>
    <t>かつての社員</t>
    <rPh sb="4" eb="6">
      <t>シャイン</t>
    </rPh>
    <phoneticPr fontId="1"/>
  </si>
  <si>
    <t>a former employee</t>
  </si>
  <si>
    <t>注文に関する質問　前</t>
    <rPh sb="0" eb="2">
      <t>チュウモン</t>
    </rPh>
    <rPh sb="3" eb="4">
      <t>カン</t>
    </rPh>
    <rPh sb="6" eb="8">
      <t>シツモン</t>
    </rPh>
    <rPh sb="9" eb="10">
      <t>マエ</t>
    </rPh>
    <phoneticPr fontId="1"/>
  </si>
  <si>
    <t>any questions concerning the order</t>
  </si>
  <si>
    <t>関連分野での経験　形</t>
    <rPh sb="0" eb="4">
      <t>カンレンブンヤ</t>
    </rPh>
    <rPh sb="6" eb="8">
      <t>ケイケン</t>
    </rPh>
    <rPh sb="9" eb="10">
      <t>カタチ</t>
    </rPh>
    <phoneticPr fontId="1"/>
  </si>
  <si>
    <t>experience in a related field</t>
  </si>
  <si>
    <t>過去20年間に渡って　名</t>
    <rPh sb="0" eb="2">
      <t>カコ</t>
    </rPh>
    <rPh sb="4" eb="5">
      <t>ネン</t>
    </rPh>
    <rPh sb="5" eb="6">
      <t>カン</t>
    </rPh>
    <rPh sb="7" eb="8">
      <t>ワタ</t>
    </rPh>
    <rPh sb="11" eb="12">
      <t>メイ</t>
    </rPh>
    <phoneticPr fontId="1"/>
  </si>
  <si>
    <t>over the past two decade</t>
  </si>
  <si>
    <t>私にはそれができる自信があります　形</t>
    <rPh sb="0" eb="1">
      <t>ワタシ</t>
    </rPh>
    <rPh sb="9" eb="11">
      <t>ジシン</t>
    </rPh>
    <rPh sb="17" eb="18">
      <t>カタチ</t>
    </rPh>
    <phoneticPr fontId="1"/>
  </si>
  <si>
    <t>I'm confident that I can do it.</t>
  </si>
  <si>
    <t>インターネットから情報を得る　動</t>
    <rPh sb="9" eb="11">
      <t>ジョウホウ</t>
    </rPh>
    <rPh sb="12" eb="13">
      <t>エ</t>
    </rPh>
    <rPh sb="15" eb="16">
      <t>ドウ</t>
    </rPh>
    <phoneticPr fontId="1"/>
  </si>
  <si>
    <t>obtain information from the Internet</t>
  </si>
  <si>
    <t>販売目標を達成する</t>
    <rPh sb="0" eb="4">
      <t>ハンバイモクヒョウ</t>
    </rPh>
    <rPh sb="5" eb="7">
      <t>タッセイ</t>
    </rPh>
    <phoneticPr fontId="1"/>
  </si>
  <si>
    <t>achieve a sales target</t>
  </si>
  <si>
    <t>テックスに彼が昇進することを保証する</t>
    <rPh sb="5" eb="6">
      <t>カレ</t>
    </rPh>
    <rPh sb="7" eb="9">
      <t>ショウシン</t>
    </rPh>
    <rPh sb="14" eb="16">
      <t>ホショウ</t>
    </rPh>
    <phoneticPr fontId="1"/>
  </si>
  <si>
    <t>assure Tex that he will be promoted</t>
  </si>
  <si>
    <t>同日配送を保証する</t>
    <rPh sb="0" eb="4">
      <t>ドウジツハイソウ</t>
    </rPh>
    <rPh sb="5" eb="7">
      <t>ホショウ</t>
    </rPh>
    <phoneticPr fontId="1"/>
  </si>
  <si>
    <t>guarantee same-day delivery</t>
  </si>
  <si>
    <t>機械のトラブルが原因で</t>
    <rPh sb="0" eb="2">
      <t>キカイ</t>
    </rPh>
    <rPh sb="8" eb="10">
      <t>ゲンイン</t>
    </rPh>
    <phoneticPr fontId="1"/>
  </si>
  <si>
    <t>due to mechanical trouble</t>
  </si>
  <si>
    <t>調査で分かったこと　名</t>
    <rPh sb="0" eb="2">
      <t>チョウサ</t>
    </rPh>
    <rPh sb="3" eb="4">
      <t>ワ</t>
    </rPh>
    <rPh sb="10" eb="11">
      <t>メイ</t>
    </rPh>
    <phoneticPr fontId="1"/>
  </si>
  <si>
    <t>research findings</t>
  </si>
  <si>
    <t>人気を得る　動</t>
    <rPh sb="0" eb="2">
      <t>ニンキ</t>
    </rPh>
    <rPh sb="3" eb="4">
      <t>エ</t>
    </rPh>
    <rPh sb="6" eb="7">
      <t>ドウ</t>
    </rPh>
    <phoneticPr fontId="1"/>
  </si>
  <si>
    <t>gain popularity</t>
  </si>
  <si>
    <t>コストの比較</t>
    <rPh sb="4" eb="6">
      <t>ヒカク</t>
    </rPh>
    <phoneticPr fontId="1"/>
  </si>
  <si>
    <t>a cost comparison</t>
  </si>
  <si>
    <t>私は委員会の議長に指名された。</t>
    <rPh sb="0" eb="1">
      <t>ワタシ</t>
    </rPh>
    <rPh sb="2" eb="5">
      <t>イインカイ</t>
    </rPh>
    <rPh sb="6" eb="8">
      <t>ギチョウ</t>
    </rPh>
    <rPh sb="9" eb="11">
      <t>シメイ</t>
    </rPh>
    <phoneticPr fontId="1"/>
  </si>
  <si>
    <t>I was appointed chairperson of the committee.</t>
  </si>
  <si>
    <t>非公式の調査</t>
    <rPh sb="0" eb="3">
      <t>ヒコウシキ</t>
    </rPh>
    <rPh sb="4" eb="6">
      <t>チョウサ</t>
    </rPh>
    <phoneticPr fontId="1"/>
  </si>
  <si>
    <t>an informal survey</t>
  </si>
  <si>
    <t>船が浅橋を通り過ぎている。</t>
    <rPh sb="0" eb="1">
      <t>フネ</t>
    </rPh>
    <rPh sb="2" eb="3">
      <t>セン</t>
    </rPh>
    <rPh sb="3" eb="4">
      <t>ハシ</t>
    </rPh>
    <rPh sb="5" eb="6">
      <t>トオ</t>
    </rPh>
    <rPh sb="7" eb="8">
      <t>ス</t>
    </rPh>
    <phoneticPr fontId="1"/>
  </si>
  <si>
    <t>A boat is sailing past a pier.</t>
  </si>
  <si>
    <t>無料の朝食</t>
    <rPh sb="0" eb="2">
      <t>ムリョウ</t>
    </rPh>
    <phoneticPr fontId="1"/>
  </si>
  <si>
    <t>a complimentary breakfast</t>
  </si>
  <si>
    <t>業界の指針に従う</t>
    <rPh sb="0" eb="2">
      <t>ギョウカイ</t>
    </rPh>
    <phoneticPr fontId="1"/>
  </si>
  <si>
    <t>follow industry guidelines</t>
  </si>
  <si>
    <t>ホテルについて何がほのめかされていますか？</t>
  </si>
  <si>
    <t>What is imply(implied) about the hotel?</t>
  </si>
  <si>
    <t>面接に適した服装</t>
    <rPh sb="0" eb="2">
      <t>メンセテゥ</t>
    </rPh>
    <phoneticPr fontId="1"/>
  </si>
  <si>
    <t>appropriate clothes for a job interview</t>
  </si>
  <si>
    <t>名高い科学者</t>
    <rPh sb="0" eb="2">
      <t>ナダカ</t>
    </rPh>
    <phoneticPr fontId="1"/>
  </si>
  <si>
    <t>a renowned scientist</t>
  </si>
  <si>
    <t>彫刻展</t>
    <rPh sb="0" eb="3">
      <t>チョウコク</t>
    </rPh>
    <phoneticPr fontId="1"/>
  </si>
  <si>
    <t>a sculpture exhibition</t>
  </si>
  <si>
    <t>チームに貢献する</t>
    <rPh sb="4" eb="6">
      <t>コウケn</t>
    </rPh>
    <phoneticPr fontId="1"/>
  </si>
  <si>
    <t>contribute to a team</t>
  </si>
  <si>
    <t>その会社はウェブデザインを専門にしている。</t>
    <rPh sb="0" eb="2">
      <t>ソノカイセィア</t>
    </rPh>
    <rPh sb="13" eb="15">
      <t>センモn</t>
    </rPh>
    <phoneticPr fontId="1"/>
  </si>
  <si>
    <t>The company specializes in Web design.</t>
    <phoneticPr fontId="1"/>
  </si>
  <si>
    <t>優れたサービスと他に負けない価格</t>
    <rPh sb="0" eb="1">
      <t>スグレ</t>
    </rPh>
    <rPh sb="8" eb="9">
      <t>ホカ</t>
    </rPh>
    <phoneticPr fontId="1"/>
  </si>
  <si>
    <t>excellent service  and competitive price</t>
  </si>
  <si>
    <t>台所用電化製品</t>
    <rPh sb="0" eb="3">
      <t>ダイドコロ</t>
    </rPh>
    <rPh sb="3" eb="7">
      <t>デンカセイ</t>
    </rPh>
    <phoneticPr fontId="1"/>
  </si>
  <si>
    <t>kitchen appliances</t>
  </si>
  <si>
    <t>会議の会場</t>
    <rPh sb="0" eb="2">
      <t>カイギ</t>
    </rPh>
    <phoneticPr fontId="1"/>
  </si>
  <si>
    <t>a convention venue</t>
  </si>
  <si>
    <t>昼食会を開く</t>
    <rPh sb="0" eb="3">
      <t>チュウショク</t>
    </rPh>
    <phoneticPr fontId="1"/>
  </si>
  <si>
    <t>hold a luncheon</t>
  </si>
  <si>
    <t>会議は午後１時ちょうどに始まります。</t>
    <rPh sb="0" eb="1">
      <t>カイギ</t>
    </rPh>
    <rPh sb="3" eb="5">
      <t>ゴゴ</t>
    </rPh>
    <rPh sb="12" eb="13">
      <t>ハジマリ</t>
    </rPh>
    <phoneticPr fontId="1"/>
  </si>
  <si>
    <t>The meeting starts promptly at 1 P.M.</t>
  </si>
  <si>
    <t>徹底的な検討</t>
    <rPh sb="0" eb="3">
      <t>テッテイ</t>
    </rPh>
    <rPh sb="4" eb="6">
      <t>ケントウ</t>
    </rPh>
    <phoneticPr fontId="1"/>
  </si>
  <si>
    <t>a thorough review</t>
  </si>
  <si>
    <t>1日３万の発行部数</t>
    <rPh sb="5" eb="9">
      <t>ハッコウ</t>
    </rPh>
    <phoneticPr fontId="1"/>
  </si>
  <si>
    <t>a daily circulation of 30,000</t>
  </si>
  <si>
    <t>電車で簡単に行ける　形</t>
    <rPh sb="0" eb="2">
      <t>デンセィア</t>
    </rPh>
    <rPh sb="6" eb="7">
      <t>イケル</t>
    </rPh>
    <rPh sb="10" eb="11">
      <t xml:space="preserve">ケイ </t>
    </rPh>
    <phoneticPr fontId="1"/>
  </si>
  <si>
    <t>easily accessible by train</t>
  </si>
  <si>
    <t>座席と食事の希望</t>
    <rPh sb="0" eb="2">
      <t>ザセキ</t>
    </rPh>
    <phoneticPr fontId="1"/>
  </si>
  <si>
    <t>seat and meal preferences</t>
  </si>
  <si>
    <t>評論家からの好意的なレビュー</t>
    <rPh sb="0" eb="3">
      <t>ヒョウロn</t>
    </rPh>
    <phoneticPr fontId="1"/>
  </si>
  <si>
    <t>positive reviews from critics</t>
  </si>
  <si>
    <t>気候が寒冷なので、それに応じた服を着てください</t>
    <rPh sb="0" eb="2">
      <t>キコウ</t>
    </rPh>
    <rPh sb="12" eb="13">
      <t>ソレニオウゼィ</t>
    </rPh>
    <rPh sb="15" eb="16">
      <t>フク</t>
    </rPh>
    <phoneticPr fontId="1"/>
  </si>
  <si>
    <t>The weather is cold,so dress accordingly</t>
  </si>
  <si>
    <t>資金集めの夕食会</t>
    <rPh sb="0" eb="3">
      <t>シキn</t>
    </rPh>
    <phoneticPr fontId="1"/>
  </si>
  <si>
    <t>the fund-raising dinner</t>
  </si>
  <si>
    <t>所持品をお持ちかご確認ください</t>
  </si>
  <si>
    <t>Make sure you have all your belongings</t>
  </si>
  <si>
    <t>袋入りの資料</t>
    <rPh sb="0" eb="2">
      <t>フクロイ</t>
    </rPh>
    <phoneticPr fontId="1"/>
  </si>
  <si>
    <t>a packet of materials</t>
  </si>
  <si>
    <t>原稿を編集する</t>
    <rPh sb="0" eb="2">
      <t>ゲンコウ</t>
    </rPh>
    <phoneticPr fontId="1"/>
  </si>
  <si>
    <t>edit a manuscript</t>
  </si>
  <si>
    <t>都市部に住む</t>
    <rPh sb="0" eb="3">
      <t>トシブ</t>
    </rPh>
    <phoneticPr fontId="1"/>
  </si>
  <si>
    <t>live in urban areas</t>
  </si>
  <si>
    <t>操業を再開する</t>
    <rPh sb="0" eb="2">
      <t>ソウギョウ</t>
    </rPh>
    <phoneticPr fontId="1"/>
  </si>
  <si>
    <t>resume operations</t>
  </si>
  <si>
    <t>部分返金</t>
    <rPh sb="0" eb="4">
      <t>ブブn</t>
    </rPh>
    <phoneticPr fontId="1"/>
  </si>
  <si>
    <t>a partial refund</t>
  </si>
  <si>
    <t>支払いを確認する</t>
    <rPh sb="0" eb="2">
      <t>シハラ</t>
    </rPh>
    <rPh sb="4" eb="6">
      <t>カクニン</t>
    </rPh>
    <phoneticPr fontId="1"/>
  </si>
  <si>
    <t>confirm a payment</t>
  </si>
  <si>
    <t>アンケート調査を行う</t>
    <rPh sb="5" eb="7">
      <t>チョウサ</t>
    </rPh>
    <rPh sb="8" eb="9">
      <t>オコナ</t>
    </rPh>
    <phoneticPr fontId="1"/>
  </si>
  <si>
    <t>conduct a survey</t>
  </si>
  <si>
    <t>不動産の管理人</t>
    <rPh sb="0" eb="3">
      <t>フドウサン</t>
    </rPh>
    <rPh sb="4" eb="7">
      <t>カンリニン</t>
    </rPh>
    <phoneticPr fontId="1"/>
  </si>
  <si>
    <t>a property manager</t>
  </si>
  <si>
    <t>顧客サービスを改善する</t>
    <rPh sb="0" eb="2">
      <t>コキャク</t>
    </rPh>
    <rPh sb="7" eb="9">
      <t>カイゼン</t>
    </rPh>
    <phoneticPr fontId="1"/>
  </si>
  <si>
    <t>improve customer service</t>
  </si>
  <si>
    <t>新商品の発売</t>
    <rPh sb="0" eb="3">
      <t>シンショウヒン</t>
    </rPh>
    <rPh sb="4" eb="6">
      <t>ハツバイ</t>
    </rPh>
    <phoneticPr fontId="1"/>
  </si>
  <si>
    <t>the launch of a new product</t>
  </si>
  <si>
    <t>特別な行事　名</t>
    <rPh sb="0" eb="2">
      <t>トクベツ</t>
    </rPh>
    <rPh sb="3" eb="5">
      <t>ギョウジ</t>
    </rPh>
    <rPh sb="6" eb="7">
      <t>メイ</t>
    </rPh>
    <phoneticPr fontId="1"/>
  </si>
  <si>
    <t>a special occasion</t>
  </si>
  <si>
    <t>懸念を示す　名</t>
    <rPh sb="0" eb="2">
      <t>ケネン</t>
    </rPh>
    <rPh sb="3" eb="4">
      <t>シメ</t>
    </rPh>
    <rPh sb="6" eb="7">
      <t>メイ</t>
    </rPh>
    <phoneticPr fontId="1"/>
  </si>
  <si>
    <t>express concern</t>
  </si>
  <si>
    <t>環境を保護する</t>
    <rPh sb="0" eb="2">
      <t>カンキョウ</t>
    </rPh>
    <rPh sb="3" eb="5">
      <t>ホゴ</t>
    </rPh>
    <phoneticPr fontId="1"/>
  </si>
  <si>
    <t>preserve the environment</t>
  </si>
  <si>
    <t>その報告書はテックス社からの委託を受けたものだ</t>
    <rPh sb="2" eb="5">
      <t>ホウコクショ</t>
    </rPh>
    <rPh sb="10" eb="11">
      <t>シャ</t>
    </rPh>
    <rPh sb="14" eb="16">
      <t>イタク</t>
    </rPh>
    <rPh sb="17" eb="18">
      <t>ウ</t>
    </rPh>
    <phoneticPr fontId="1"/>
  </si>
  <si>
    <t>The report was commissioned by Tex Corporation.</t>
  </si>
  <si>
    <t>従来の顧客</t>
    <rPh sb="0" eb="2">
      <t>ジュウライ</t>
    </rPh>
    <rPh sb="3" eb="5">
      <t>コキャク</t>
    </rPh>
    <phoneticPr fontId="1"/>
  </si>
  <si>
    <t>existing customers</t>
    <phoneticPr fontId="1"/>
  </si>
  <si>
    <t>男性が芝生を刈っている。</t>
    <rPh sb="0" eb="2">
      <t>ダンセイ</t>
    </rPh>
    <rPh sb="3" eb="5">
      <t>シバフ</t>
    </rPh>
    <rPh sb="6" eb="7">
      <t>カ</t>
    </rPh>
    <phoneticPr fontId="1"/>
  </si>
  <si>
    <t>A man is mowing the lawn.</t>
  </si>
  <si>
    <t>彼女は海辺をぶらぶら歩いている。</t>
    <rPh sb="0" eb="2">
      <t>カノジョ</t>
    </rPh>
    <rPh sb="3" eb="5">
      <t>ウミベ</t>
    </rPh>
    <rPh sb="10" eb="11">
      <t>アル</t>
    </rPh>
    <phoneticPr fontId="1"/>
  </si>
  <si>
    <t>She's stroling along the shore.</t>
  </si>
  <si>
    <t>私はその職に適任だ。</t>
  </si>
  <si>
    <t>I am qualified for the posision.</t>
  </si>
  <si>
    <t>主な任務</t>
    <rPh sb="0" eb="1">
      <t>オモ</t>
    </rPh>
    <rPh sb="2" eb="4">
      <t>ニンム</t>
    </rPh>
    <phoneticPr fontId="1"/>
  </si>
  <si>
    <t>primary duties</t>
  </si>
  <si>
    <t>関連した職務経験</t>
    <rPh sb="0" eb="1">
      <t>カンレn</t>
    </rPh>
    <rPh sb="4" eb="8">
      <t>ショクム</t>
    </rPh>
    <phoneticPr fontId="1"/>
  </si>
  <si>
    <t>relevant work experience</t>
  </si>
  <si>
    <t>プロジェクトの完了</t>
    <rPh sb="7" eb="9">
      <t>カンリョウ</t>
    </rPh>
    <phoneticPr fontId="1"/>
  </si>
  <si>
    <t>the completion of the project</t>
  </si>
  <si>
    <t>広告収入</t>
    <rPh sb="0" eb="4">
      <t>コウコク</t>
    </rPh>
    <phoneticPr fontId="1"/>
  </si>
  <si>
    <t>advertising revenue</t>
  </si>
  <si>
    <t>頼りになる秘書</t>
    <rPh sb="0" eb="1">
      <t>タヨリ</t>
    </rPh>
    <phoneticPr fontId="1"/>
  </si>
  <si>
    <t>a reliable secretary</t>
  </si>
  <si>
    <t>頭上のスペースの中に</t>
    <rPh sb="0" eb="2">
      <t>ズジョウ</t>
    </rPh>
    <rPh sb="8" eb="9">
      <t>ナカ</t>
    </rPh>
    <phoneticPr fontId="1"/>
  </si>
  <si>
    <t>in the overhead compartment</t>
  </si>
  <si>
    <t>敷地内で</t>
    <rPh sb="0" eb="3">
      <t>シキティ</t>
    </rPh>
    <phoneticPr fontId="1"/>
  </si>
  <si>
    <t>on the premises</t>
  </si>
  <si>
    <t>家の購入に関連したコスト</t>
    <rPh sb="0" eb="1">
      <t>イエノ</t>
    </rPh>
    <rPh sb="5" eb="7">
      <t>カンレn</t>
    </rPh>
    <phoneticPr fontId="1"/>
  </si>
  <si>
    <t>costs associated with buying a house</t>
  </si>
  <si>
    <t>イベントはコンサートで締めくくられる予定です。</t>
    <rPh sb="11" eb="12">
      <t>シメ</t>
    </rPh>
    <phoneticPr fontId="1"/>
  </si>
  <si>
    <t>The event will conclude with a concert.</t>
  </si>
  <si>
    <t>共同の努力</t>
    <rPh sb="0" eb="2">
      <t>キョウド</t>
    </rPh>
    <phoneticPr fontId="1"/>
  </si>
  <si>
    <t>a combined effort</t>
  </si>
  <si>
    <t>同等の製品より値段が高い</t>
    <rPh sb="0" eb="1">
      <t>ドウトウ</t>
    </rPh>
    <phoneticPr fontId="1"/>
  </si>
  <si>
    <t>more expensive than comparable products</t>
  </si>
  <si>
    <t>古いものの代わりに新しいものを使う</t>
    <rPh sb="0" eb="1">
      <t>フルイ</t>
    </rPh>
    <rPh sb="9" eb="10">
      <t>アタラセィ</t>
    </rPh>
    <rPh sb="15" eb="16">
      <t>ツカウ</t>
    </rPh>
    <phoneticPr fontId="1"/>
  </si>
  <si>
    <t>substitute new for old</t>
  </si>
  <si>
    <t>給料を受け取る</t>
    <rPh sb="0" eb="2">
      <t>キュウリョウ</t>
    </rPh>
    <phoneticPr fontId="1"/>
  </si>
  <si>
    <t>receive a paycheck</t>
  </si>
  <si>
    <t>その衣料品は綿製です。</t>
    <rPh sb="6" eb="7">
      <t xml:space="preserve">メン </t>
    </rPh>
    <phoneticPr fontId="1"/>
  </si>
  <si>
    <t>The garment is made of cotton.</t>
  </si>
  <si>
    <t>その部屋は使われている。</t>
    <rPh sb="5" eb="6">
      <t>ツカワレ</t>
    </rPh>
    <phoneticPr fontId="1"/>
  </si>
  <si>
    <t xml:space="preserve">The room is occupied. </t>
  </si>
  <si>
    <t>その映画はおおむね良い評価を得た。</t>
    <rPh sb="11" eb="13">
      <t>ヒョウ</t>
    </rPh>
    <phoneticPr fontId="1"/>
  </si>
  <si>
    <t>The film received generally positive reviews.</t>
  </si>
  <si>
    <t>成長のための新計画</t>
    <rPh sb="0" eb="2">
      <t>セイチョウ</t>
    </rPh>
    <rPh sb="6" eb="9">
      <t>シンケイカク</t>
    </rPh>
    <phoneticPr fontId="1"/>
  </si>
  <si>
    <t>a growth initiative</t>
  </si>
  <si>
    <t>太陽に直接さらされる</t>
    <rPh sb="0" eb="2">
      <t>タイヨウ</t>
    </rPh>
    <rPh sb="3" eb="5">
      <t>チョク</t>
    </rPh>
    <phoneticPr fontId="1"/>
  </si>
  <si>
    <t>be directly exposed to the sun</t>
  </si>
  <si>
    <t>いかなる状況下でも</t>
  </si>
  <si>
    <t>under any circumstances</t>
  </si>
  <si>
    <t>従業員の頑張りに報いる</t>
    <rPh sb="0" eb="1">
      <t>ジュウギョウ</t>
    </rPh>
    <phoneticPr fontId="1"/>
  </si>
  <si>
    <t>reward employees for their hard work</t>
  </si>
  <si>
    <t>消費者に安心感を与える</t>
    <rPh sb="0" eb="3">
      <t>ショウヒセィア</t>
    </rPh>
    <rPh sb="8" eb="9">
      <t>アタエ</t>
    </rPh>
    <phoneticPr fontId="1"/>
  </si>
  <si>
    <t>provide relief to consumers</t>
  </si>
  <si>
    <t>地域での強い存在感</t>
    <rPh sb="0" eb="2">
      <t>チイキデノツイ</t>
    </rPh>
    <rPh sb="6" eb="9">
      <t>ソンザイ</t>
    </rPh>
    <phoneticPr fontId="1"/>
  </si>
  <si>
    <t>a strong presence in the area</t>
  </si>
  <si>
    <t>予告なしに辞任する</t>
    <rPh sb="0" eb="2">
      <t>ヨコク</t>
    </rPh>
    <rPh sb="5" eb="7">
      <t>ジニン</t>
    </rPh>
    <phoneticPr fontId="1"/>
  </si>
  <si>
    <t>resign without notice</t>
  </si>
  <si>
    <t>あなたにそうする義務はない</t>
    <rPh sb="8" eb="10">
      <t>ギム</t>
    </rPh>
    <phoneticPr fontId="1"/>
  </si>
  <si>
    <t>You have no obligation to do so.</t>
  </si>
  <si>
    <t>倉庫をオフィスに改造する</t>
    <rPh sb="0" eb="2">
      <t>ソウコ</t>
    </rPh>
    <rPh sb="8" eb="10">
      <t>カイゾウ</t>
    </rPh>
    <phoneticPr fontId="1"/>
  </si>
  <si>
    <t>convert a warehouse into an office</t>
  </si>
  <si>
    <t>川下りの旅</t>
    <rPh sb="0" eb="2">
      <t>カワクダ</t>
    </rPh>
    <rPh sb="4" eb="5">
      <t>タビ</t>
    </rPh>
    <phoneticPr fontId="1"/>
  </si>
  <si>
    <t>rafting trips</t>
  </si>
  <si>
    <t>チケットの下の部分</t>
    <rPh sb="5" eb="6">
      <t>シタ</t>
    </rPh>
    <rPh sb="7" eb="9">
      <t>ブブン</t>
    </rPh>
    <phoneticPr fontId="1"/>
  </si>
  <si>
    <t>the bottom portion of the ticket</t>
  </si>
  <si>
    <t>銀行取引</t>
    <rPh sb="0" eb="4">
      <t>ギンコウトリヒキ</t>
    </rPh>
    <phoneticPr fontId="1"/>
  </si>
  <si>
    <t>a bank transaction</t>
  </si>
  <si>
    <t>注文を受け取ったことを知らせる</t>
    <rPh sb="0" eb="2">
      <t>チュウモン</t>
    </rPh>
    <rPh sb="3" eb="4">
      <t>ウ</t>
    </rPh>
    <rPh sb="5" eb="6">
      <t>ト</t>
    </rPh>
    <rPh sb="11" eb="12">
      <t>シ</t>
    </rPh>
    <phoneticPr fontId="1"/>
  </si>
  <si>
    <t>acknowledge receipt of the order</t>
  </si>
  <si>
    <t>テックスに考えを変えるよう強く促す</t>
    <rPh sb="5" eb="6">
      <t>カンガ</t>
    </rPh>
    <rPh sb="8" eb="9">
      <t>カ</t>
    </rPh>
    <rPh sb="13" eb="14">
      <t>ツヨ</t>
    </rPh>
    <rPh sb="15" eb="16">
      <t>ウナガ</t>
    </rPh>
    <phoneticPr fontId="1"/>
  </si>
  <si>
    <t>urge Tex to change his mind</t>
  </si>
  <si>
    <t>イベントの予定表</t>
    <rPh sb="5" eb="8">
      <t>ヨテイヒョウ</t>
    </rPh>
    <phoneticPr fontId="1"/>
  </si>
  <si>
    <t>a timeline of events</t>
  </si>
  <si>
    <t>コスト削減のために懸命に努力する</t>
    <rPh sb="3" eb="5">
      <t>サクゲン</t>
    </rPh>
    <rPh sb="9" eb="11">
      <t>ケンメイ</t>
    </rPh>
    <rPh sb="12" eb="14">
      <t>ドリョク</t>
    </rPh>
    <phoneticPr fontId="1"/>
  </si>
  <si>
    <t>strive to cut costs</t>
  </si>
  <si>
    <t>ドアにはしっかりと鍵がかかっている。</t>
    <rPh sb="9" eb="10">
      <t>カギ</t>
    </rPh>
    <phoneticPr fontId="1"/>
  </si>
  <si>
    <t>The door is securely locked.</t>
  </si>
  <si>
    <t>コンピュータプログラムの専門知識</t>
    <rPh sb="12" eb="16">
      <t>センモンチシキ</t>
    </rPh>
    <phoneticPr fontId="1"/>
  </si>
  <si>
    <t>expertise in computer programming</t>
  </si>
  <si>
    <t>製品の総合的なリスト</t>
    <rPh sb="0" eb="2">
      <t>セイヒン</t>
    </rPh>
    <rPh sb="3" eb="6">
      <t>ソウゴウテキ</t>
    </rPh>
    <phoneticPr fontId="1"/>
  </si>
  <si>
    <t>a comprehensive list of products</t>
  </si>
  <si>
    <t>会社には社内の託児所があります</t>
    <rPh sb="0" eb="2">
      <t>カイシャ</t>
    </rPh>
    <rPh sb="4" eb="6">
      <t>シャナイ</t>
    </rPh>
    <rPh sb="7" eb="10">
      <t>タクジショ</t>
    </rPh>
    <phoneticPr fontId="1"/>
  </si>
  <si>
    <t>The company has an on-site childcare center</t>
  </si>
  <si>
    <t>建設請負業者</t>
    <rPh sb="0" eb="6">
      <t>ケンセツウケオイギョウシャ</t>
    </rPh>
    <phoneticPr fontId="1"/>
  </si>
  <si>
    <t>a construction contractor</t>
  </si>
  <si>
    <t>参加は任意です</t>
    <rPh sb="0" eb="2">
      <t>サンカ</t>
    </rPh>
    <rPh sb="3" eb="5">
      <t>ニンイ</t>
    </rPh>
    <phoneticPr fontId="1"/>
  </si>
  <si>
    <t>Attendance is voluntary</t>
  </si>
  <si>
    <t>貨物エレベーターを使う</t>
    <rPh sb="0" eb="2">
      <t>カモツ</t>
    </rPh>
    <rPh sb="9" eb="10">
      <t>ツカ</t>
    </rPh>
    <phoneticPr fontId="1"/>
  </si>
  <si>
    <t>use a freight elevator</t>
  </si>
  <si>
    <t>顧客サービスを高める</t>
    <rPh sb="0" eb="2">
      <t>コキャク</t>
    </rPh>
    <rPh sb="7" eb="8">
      <t>タカ</t>
    </rPh>
    <phoneticPr fontId="1"/>
  </si>
  <si>
    <t>enhance customer servise</t>
  </si>
  <si>
    <t>通勤者が乗る電車(通勤電車)</t>
    <rPh sb="0" eb="3">
      <t>ツウキンシャ</t>
    </rPh>
    <rPh sb="4" eb="5">
      <t>ノ</t>
    </rPh>
    <rPh sb="6" eb="8">
      <t>デンシャ</t>
    </rPh>
    <rPh sb="9" eb="13">
      <t>ツウキンデンシャ</t>
    </rPh>
    <phoneticPr fontId="1"/>
  </si>
  <si>
    <t>a commuter train</t>
  </si>
  <si>
    <t>広々とした部屋</t>
    <rPh sb="0" eb="2">
      <t>ヒロビロ</t>
    </rPh>
    <rPh sb="5" eb="7">
      <t>ヘヤ</t>
    </rPh>
    <phoneticPr fontId="1"/>
  </si>
  <si>
    <t>a spacious room</t>
  </si>
  <si>
    <t>生地サンプルをチェックする</t>
    <rPh sb="0" eb="2">
      <t>キジ</t>
    </rPh>
    <phoneticPr fontId="1"/>
  </si>
  <si>
    <t>check fabric samples</t>
  </si>
  <si>
    <t>市政府</t>
    <rPh sb="0" eb="3">
      <t>シセイフ</t>
    </rPh>
    <phoneticPr fontId="1"/>
  </si>
  <si>
    <t>the municipal government</t>
  </si>
  <si>
    <t>薬局で働く</t>
    <rPh sb="0" eb="2">
      <t>ヤッキョク</t>
    </rPh>
    <rPh sb="3" eb="4">
      <t>ハタラ</t>
    </rPh>
    <phoneticPr fontId="1"/>
  </si>
  <si>
    <t>work at a phamacy</t>
  </si>
  <si>
    <t>個人に合わせたサービス</t>
    <rPh sb="0" eb="2">
      <t>コジン</t>
    </rPh>
    <rPh sb="3" eb="4">
      <t>ア</t>
    </rPh>
    <phoneticPr fontId="1"/>
  </si>
  <si>
    <t>personalized service</t>
  </si>
  <si>
    <t>メンター制度プログラム</t>
    <rPh sb="4" eb="6">
      <t>セイド</t>
    </rPh>
    <phoneticPr fontId="1"/>
  </si>
  <si>
    <t>a mentoring service</t>
  </si>
  <si>
    <t>製造が終了した電化製品</t>
    <rPh sb="0" eb="2">
      <t>セイゾウ</t>
    </rPh>
    <rPh sb="3" eb="5">
      <t>シュウリョウ</t>
    </rPh>
    <rPh sb="7" eb="11">
      <t>デンカセイヒン</t>
    </rPh>
    <phoneticPr fontId="1"/>
  </si>
  <si>
    <t>a discontinued appliance</t>
  </si>
  <si>
    <t>管理職のレベルでの経験</t>
    <rPh sb="0" eb="3">
      <t>カンリショク</t>
    </rPh>
    <rPh sb="9" eb="11">
      <t>ケイケン</t>
    </rPh>
    <phoneticPr fontId="1"/>
  </si>
  <si>
    <t>experience at a managerial level</t>
  </si>
  <si>
    <t>アカウントを認証する</t>
    <rPh sb="6" eb="8">
      <t>ニンショウ</t>
    </rPh>
    <phoneticPr fontId="1"/>
  </si>
  <si>
    <t>verify an account</t>
  </si>
  <si>
    <t>輸送中のダメージ</t>
    <rPh sb="0" eb="3">
      <t>ユソウチュウ</t>
    </rPh>
    <phoneticPr fontId="1"/>
  </si>
  <si>
    <t>damage in transit</t>
  </si>
  <si>
    <t>賞の受賞者</t>
    <rPh sb="0" eb="1">
      <t>ショウ</t>
    </rPh>
    <rPh sb="2" eb="5">
      <t>ジュショウシャ</t>
    </rPh>
    <phoneticPr fontId="1"/>
  </si>
  <si>
    <t>recipients of the prize</t>
  </si>
  <si>
    <t>作品集を添えて下さい。</t>
    <rPh sb="0" eb="3">
      <t>サクヒンシュウ</t>
    </rPh>
    <rPh sb="4" eb="5">
      <t>ソ</t>
    </rPh>
    <rPh sb="7" eb="8">
      <t>クダ</t>
    </rPh>
    <phoneticPr fontId="1"/>
  </si>
  <si>
    <t>Please include your portfolia.</t>
  </si>
  <si>
    <t>その塔は町の名所です。</t>
    <rPh sb="2" eb="3">
      <t>トウ</t>
    </rPh>
    <rPh sb="4" eb="5">
      <t>マチ</t>
    </rPh>
    <rPh sb="6" eb="8">
      <t>メイショ</t>
    </rPh>
    <phoneticPr fontId="1"/>
  </si>
  <si>
    <t>The tower is the town's landmark.</t>
  </si>
  <si>
    <t>手ごろな価格だけれども耐久性がある。</t>
    <rPh sb="0" eb="1">
      <t>テ</t>
    </rPh>
    <rPh sb="4" eb="6">
      <t>カカク</t>
    </rPh>
    <rPh sb="11" eb="14">
      <t>タイキュウセイ</t>
    </rPh>
    <phoneticPr fontId="1"/>
  </si>
  <si>
    <t>affordable yet durable</t>
  </si>
  <si>
    <t>テックスとマサヤ、それぞれ16歳と18歳</t>
    <rPh sb="15" eb="16">
      <t>サイ</t>
    </rPh>
    <rPh sb="19" eb="20">
      <t>サイ</t>
    </rPh>
    <phoneticPr fontId="1"/>
  </si>
  <si>
    <t>Tex and Masaya,16 and 18,respectively</t>
    <phoneticPr fontId="1"/>
  </si>
  <si>
    <t>エアロビクスのクラスに入る</t>
    <rPh sb="11" eb="12">
      <t>ハイ</t>
    </rPh>
    <phoneticPr fontId="1"/>
  </si>
  <si>
    <t>enroll in an aerobics class</t>
  </si>
  <si>
    <t>投資について非常に知識が豊富な</t>
    <rPh sb="0" eb="2">
      <t>トウシ</t>
    </rPh>
    <rPh sb="6" eb="8">
      <t>ヒジョウ</t>
    </rPh>
    <rPh sb="9" eb="11">
      <t>チシキ</t>
    </rPh>
    <rPh sb="12" eb="14">
      <t>ホウフ</t>
    </rPh>
    <phoneticPr fontId="1"/>
  </si>
  <si>
    <t>highly knowledgeable about investments</t>
  </si>
  <si>
    <t>完全に家具が付いたアパート</t>
    <rPh sb="0" eb="2">
      <t>カンゼn</t>
    </rPh>
    <rPh sb="3" eb="5">
      <t>カグ</t>
    </rPh>
    <rPh sb="6" eb="7">
      <t>ツ</t>
    </rPh>
    <phoneticPr fontId="1"/>
  </si>
  <si>
    <t>a fully furnished apartment</t>
  </si>
  <si>
    <t>スタッフは礼儀正しかった</t>
    <rPh sb="5" eb="7">
      <t>レイギ</t>
    </rPh>
    <rPh sb="7" eb="8">
      <t>タダ</t>
    </rPh>
    <phoneticPr fontId="1"/>
  </si>
  <si>
    <t>The staff was courteous.</t>
  </si>
  <si>
    <t>フォーマルな服装がオフィスでは必要です</t>
    <rPh sb="6" eb="8">
      <t>フクソウ</t>
    </rPh>
    <rPh sb="15" eb="17">
      <t>ヒツヨウ</t>
    </rPh>
    <phoneticPr fontId="1"/>
  </si>
  <si>
    <t>Formal attire is required in the office.</t>
  </si>
  <si>
    <t>ズラリと並んだ本</t>
    <rPh sb="4" eb="5">
      <t>ナランダ</t>
    </rPh>
    <rPh sb="7" eb="8">
      <t>ホn</t>
    </rPh>
    <phoneticPr fontId="1"/>
  </si>
  <si>
    <t>an array of books</t>
  </si>
  <si>
    <t>概略を説明する</t>
    <rPh sb="0" eb="2">
      <t>ガイリャク</t>
    </rPh>
    <rPh sb="3" eb="5">
      <t>セツメイ</t>
    </rPh>
    <phoneticPr fontId="1"/>
  </si>
  <si>
    <t>give an overview</t>
  </si>
  <si>
    <t>風邪の薬</t>
    <rPh sb="0" eb="2">
      <t>カゼノ</t>
    </rPh>
    <phoneticPr fontId="1"/>
  </si>
  <si>
    <t>cold medication</t>
  </si>
  <si>
    <t>資格を持った建物の検査官</t>
    <rPh sb="0" eb="1">
      <t>シカク</t>
    </rPh>
    <rPh sb="9" eb="12">
      <t>ケンサ</t>
    </rPh>
    <phoneticPr fontId="1"/>
  </si>
  <si>
    <t>a certified building inspector</t>
  </si>
  <si>
    <t>フランス料理</t>
  </si>
  <si>
    <t>French cuisine</t>
  </si>
  <si>
    <t>最新式の機器</t>
    <rPh sb="0" eb="3">
      <t>サイシンシキノキ</t>
    </rPh>
    <phoneticPr fontId="1"/>
  </si>
  <si>
    <t>state-of-the-art equipment</t>
  </si>
  <si>
    <t>眺めがいいルートを行く</t>
    <rPh sb="0" eb="1">
      <t>ナガメ</t>
    </rPh>
    <rPh sb="9" eb="10">
      <t xml:space="preserve">イク </t>
    </rPh>
    <phoneticPr fontId="1"/>
  </si>
  <si>
    <t>take the scenic route</t>
  </si>
  <si>
    <t>その機械はまだちゃんと機能している</t>
    <rPh sb="11" eb="13">
      <t>キノウ</t>
    </rPh>
    <phoneticPr fontId="1"/>
  </si>
  <si>
    <t>The machine is still functional</t>
  </si>
  <si>
    <t>液体洗剤</t>
    <rPh sb="0" eb="4">
      <t>エキタイ</t>
    </rPh>
    <phoneticPr fontId="1"/>
  </si>
  <si>
    <t>liquid detergent</t>
  </si>
  <si>
    <t>ホテルに隣接したレストラン</t>
    <rPh sb="4" eb="6">
      <t>リンセテゥ</t>
    </rPh>
    <phoneticPr fontId="1"/>
  </si>
  <si>
    <t>the restaurant adjacent to the hotel</t>
  </si>
  <si>
    <t>時代遅れのTOEIC本</t>
    <rPh sb="0" eb="3">
      <t>ジダイ</t>
    </rPh>
    <rPh sb="10" eb="11">
      <t>ホn</t>
    </rPh>
    <phoneticPr fontId="1"/>
  </si>
  <si>
    <t>outdated TOEIC books</t>
  </si>
  <si>
    <t>全国配送</t>
    <rPh sb="0" eb="4">
      <t>ゼンコク</t>
    </rPh>
    <phoneticPr fontId="1"/>
  </si>
  <si>
    <t>nationwide delivery</t>
  </si>
  <si>
    <t>役立つセミナー</t>
    <rPh sb="0" eb="2">
      <t>ヤクダテゥ</t>
    </rPh>
    <phoneticPr fontId="1"/>
  </si>
  <si>
    <t>an informative seminar</t>
  </si>
  <si>
    <t>映画の上映</t>
    <rPh sb="0" eb="2">
      <t>エイガ</t>
    </rPh>
    <rPh sb="3" eb="5">
      <t>ジョウエイ</t>
    </rPh>
    <phoneticPr fontId="1"/>
  </si>
  <si>
    <t>a screening of a film</t>
  </si>
  <si>
    <t>コストを最低限に抑え、利益を最大化する</t>
    <rPh sb="4" eb="7">
      <t>サイテイゲン</t>
    </rPh>
    <rPh sb="8" eb="9">
      <t>オサ</t>
    </rPh>
    <rPh sb="11" eb="13">
      <t>リエキ</t>
    </rPh>
    <rPh sb="14" eb="17">
      <t>サイダイカ</t>
    </rPh>
    <phoneticPr fontId="1"/>
  </si>
  <si>
    <t>minimize costs and maximize profits</t>
  </si>
  <si>
    <t>入門コース</t>
    <rPh sb="0" eb="2">
      <t>ニュウモン</t>
    </rPh>
    <phoneticPr fontId="1"/>
  </si>
  <si>
    <t>an introductory course</t>
  </si>
  <si>
    <t>若き起業家</t>
    <rPh sb="0" eb="1">
      <t>ワカ</t>
    </rPh>
    <rPh sb="2" eb="5">
      <t>キギョウカ</t>
    </rPh>
    <phoneticPr fontId="1"/>
  </si>
  <si>
    <t>a young entrepreneur</t>
  </si>
  <si>
    <t>お会いできてとても感激しています。</t>
    <rPh sb="1" eb="2">
      <t>ア</t>
    </rPh>
    <rPh sb="9" eb="11">
      <t>カンゲキ</t>
    </rPh>
    <phoneticPr fontId="1"/>
  </si>
  <si>
    <t>I'm thrilled to see you.</t>
  </si>
  <si>
    <t>間際になっての変更</t>
    <rPh sb="0" eb="2">
      <t>マギワ</t>
    </rPh>
    <rPh sb="7" eb="9">
      <t>ヘンコウ</t>
    </rPh>
    <phoneticPr fontId="1"/>
  </si>
  <si>
    <t>a last-minute change</t>
  </si>
  <si>
    <t>実地の訓練</t>
    <rPh sb="0" eb="2">
      <t>ジッチ</t>
    </rPh>
    <rPh sb="3" eb="5">
      <t>クンレン</t>
    </rPh>
    <phoneticPr fontId="1"/>
  </si>
  <si>
    <t>hands-on training</t>
  </si>
  <si>
    <t>私は電話を紛失した</t>
    <rPh sb="2" eb="4">
      <t>デンワ</t>
    </rPh>
    <rPh sb="5" eb="7">
      <t>フンシツ</t>
    </rPh>
    <phoneticPr fontId="1"/>
  </si>
  <si>
    <t>I have misplaced my phone.</t>
  </si>
  <si>
    <t>ジムやプールといった娯楽施設</t>
    <rPh sb="10" eb="14">
      <t>ゴラクシセツ</t>
    </rPh>
    <phoneticPr fontId="1"/>
  </si>
  <si>
    <t>amenitys such as gyms and swimming pools</t>
  </si>
  <si>
    <t>配管工に電話する</t>
    <rPh sb="0" eb="3">
      <t>ハイカンコウ</t>
    </rPh>
    <rPh sb="4" eb="6">
      <t>デンワ</t>
    </rPh>
    <phoneticPr fontId="1"/>
  </si>
  <si>
    <t>call a plumber</t>
  </si>
  <si>
    <t>定期刊行物を出版する</t>
    <rPh sb="0" eb="2">
      <t>テイキ</t>
    </rPh>
    <rPh sb="2" eb="5">
      <t>カンコウブツ</t>
    </rPh>
    <rPh sb="6" eb="8">
      <t>シュッパン</t>
    </rPh>
    <phoneticPr fontId="1"/>
  </si>
  <si>
    <t>publish a periodical</t>
  </si>
  <si>
    <t>進行中のプロジェクト</t>
    <rPh sb="0" eb="3">
      <t>シンコウチュウ</t>
    </rPh>
    <phoneticPr fontId="1"/>
  </si>
  <si>
    <t>an ongoing project</t>
  </si>
  <si>
    <t>携帯電話のご利用はお控えください</t>
    <rPh sb="0" eb="4">
      <t>ケイタイデンワ</t>
    </rPh>
    <rPh sb="6" eb="8">
      <t>リヨウ</t>
    </rPh>
    <rPh sb="10" eb="11">
      <t>ヒカ</t>
    </rPh>
    <phoneticPr fontId="1"/>
  </si>
  <si>
    <t>Please refrain from using mobile phones.</t>
  </si>
  <si>
    <t>古い書類を捨てる</t>
    <rPh sb="0" eb="1">
      <t>フル</t>
    </rPh>
    <rPh sb="2" eb="4">
      <t>ショルイ</t>
    </rPh>
    <rPh sb="5" eb="6">
      <t>ス</t>
    </rPh>
    <phoneticPr fontId="1"/>
  </si>
  <si>
    <t>discard old papers</t>
  </si>
  <si>
    <t>入札を行う</t>
    <rPh sb="0" eb="2">
      <t>ニュウサツ</t>
    </rPh>
    <rPh sb="3" eb="4">
      <t>オコナ</t>
    </rPh>
    <phoneticPr fontId="1"/>
  </si>
  <si>
    <t>make a bid</t>
  </si>
  <si>
    <t>オンラインの指導書</t>
    <rPh sb="0" eb="1">
      <t>オンラインノシドウ</t>
    </rPh>
    <phoneticPr fontId="1"/>
  </si>
  <si>
    <t>an online tutorial</t>
  </si>
  <si>
    <t>肥料を作るため食品廃棄物をリサイクルする</t>
    <rPh sb="0" eb="2">
      <t>ヒリョウ</t>
    </rPh>
    <rPh sb="3" eb="4">
      <t>ツク</t>
    </rPh>
    <rPh sb="7" eb="12">
      <t>ショクヒンハイキブツ</t>
    </rPh>
    <phoneticPr fontId="1"/>
  </si>
  <si>
    <t>recycle food waste to make fertilizer</t>
  </si>
  <si>
    <t>他人と協力して作業する</t>
    <rPh sb="0" eb="2">
      <t>タニン</t>
    </rPh>
    <rPh sb="3" eb="5">
      <t>キョウリョク</t>
    </rPh>
    <rPh sb="7" eb="9">
      <t>サギョウ</t>
    </rPh>
    <phoneticPr fontId="1"/>
  </si>
  <si>
    <t>work in collaboration with other</t>
  </si>
  <si>
    <t>クレジットカードを使えるようにする</t>
    <rPh sb="9" eb="10">
      <t>ツカ</t>
    </rPh>
    <phoneticPr fontId="1"/>
  </si>
  <si>
    <t>activate a credit card</t>
  </si>
  <si>
    <t>期待を超える</t>
    <rPh sb="0" eb="2">
      <t>キタイ</t>
    </rPh>
    <phoneticPr fontId="1"/>
  </si>
  <si>
    <t>exceed expectations</t>
    <phoneticPr fontId="1"/>
  </si>
  <si>
    <t>会議の抜粋</t>
    <rPh sb="0" eb="2">
      <t>カイギ</t>
    </rPh>
    <rPh sb="3" eb="5">
      <t>バッスイ</t>
    </rPh>
    <phoneticPr fontId="1"/>
  </si>
  <si>
    <t>an excerpt from a meeting</t>
    <phoneticPr fontId="1"/>
  </si>
  <si>
    <t>英語のスキルの高さ</t>
    <rPh sb="0" eb="2">
      <t>エイゴ</t>
    </rPh>
    <rPh sb="7" eb="8">
      <t>タカ</t>
    </rPh>
    <phoneticPr fontId="1"/>
  </si>
  <si>
    <t>proficiency in English</t>
  </si>
  <si>
    <t>振興市場</t>
    <rPh sb="0" eb="2">
      <t>シンコウ</t>
    </rPh>
    <rPh sb="2" eb="4">
      <t>イチバ</t>
    </rPh>
    <phoneticPr fontId="1"/>
  </si>
  <si>
    <t>emerging markets</t>
    <phoneticPr fontId="1"/>
  </si>
  <si>
    <t>旅費を払い戻す</t>
    <rPh sb="0" eb="2">
      <t>リョヒ</t>
    </rPh>
    <rPh sb="3" eb="4">
      <t>ハラ</t>
    </rPh>
    <rPh sb="5" eb="6">
      <t>モド</t>
    </rPh>
    <phoneticPr fontId="1"/>
  </si>
  <si>
    <t>reimburse travel expenses</t>
    <phoneticPr fontId="1"/>
  </si>
  <si>
    <t>株主総会</t>
    <rPh sb="0" eb="4">
      <t>カブヌセィ</t>
    </rPh>
    <phoneticPr fontId="1"/>
  </si>
  <si>
    <t>a shareholder's meeting</t>
  </si>
  <si>
    <t>クラスの同窓会に参加する</t>
    <rPh sb="4" eb="7">
      <t>ドウソウカイ</t>
    </rPh>
    <rPh sb="8" eb="10">
      <t>サンカ</t>
    </rPh>
    <phoneticPr fontId="1"/>
  </si>
  <si>
    <t>attend a class reunion</t>
    <phoneticPr fontId="1"/>
  </si>
  <si>
    <t>安全対策が実施された。</t>
    <rPh sb="0" eb="4">
      <t>アンゼn</t>
    </rPh>
    <phoneticPr fontId="1"/>
  </si>
  <si>
    <t>Security measures were implemented.</t>
    <phoneticPr fontId="1"/>
  </si>
  <si>
    <t>3日間の集中的な研修</t>
    <rPh sb="1" eb="3">
      <t>カカン</t>
    </rPh>
    <rPh sb="4" eb="7">
      <t>シュウチュウテキ</t>
    </rPh>
    <rPh sb="8" eb="10">
      <t>ケンシュウ</t>
    </rPh>
    <phoneticPr fontId="1"/>
  </si>
  <si>
    <t>a three-day intensive training seminar</t>
  </si>
  <si>
    <t>長期にわたるプロセス</t>
    <rPh sb="0" eb="2">
      <t>チョウキ</t>
    </rPh>
    <phoneticPr fontId="1"/>
  </si>
  <si>
    <t>a lengthy process</t>
  </si>
  <si>
    <t>料理の初心者</t>
    <rPh sb="0" eb="2">
      <t>リョウリ</t>
    </rPh>
    <rPh sb="3" eb="6">
      <t>ショシンシャ</t>
    </rPh>
    <phoneticPr fontId="1"/>
  </si>
  <si>
    <t>novice cooks</t>
  </si>
  <si>
    <t>製品の売り方を決定する</t>
    <rPh sb="0" eb="2">
      <t>セイヒン</t>
    </rPh>
    <rPh sb="3" eb="4">
      <t>ウ</t>
    </rPh>
    <rPh sb="5" eb="6">
      <t>カタ</t>
    </rPh>
    <rPh sb="7" eb="9">
      <t>ケッテイ</t>
    </rPh>
    <phoneticPr fontId="1"/>
  </si>
  <si>
    <t>determine how to sell the product</t>
  </si>
  <si>
    <t>私は海外で働く意思がある　形</t>
    <rPh sb="0" eb="1">
      <t>ワタシ</t>
    </rPh>
    <rPh sb="2" eb="4">
      <t>カイガイ</t>
    </rPh>
    <rPh sb="5" eb="6">
      <t>ハタラ</t>
    </rPh>
    <rPh sb="7" eb="9">
      <t>イシ</t>
    </rPh>
    <rPh sb="13" eb="14">
      <t>カタチ</t>
    </rPh>
    <phoneticPr fontId="1"/>
  </si>
  <si>
    <t>I am willing to work overseas.</t>
  </si>
  <si>
    <t>イベントの準備のため　名</t>
    <rPh sb="5" eb="7">
      <t>ジュンビ</t>
    </rPh>
    <rPh sb="11" eb="12">
      <t>メイ</t>
    </rPh>
    <phoneticPr fontId="1"/>
  </si>
  <si>
    <t>in preparation for an event</t>
  </si>
  <si>
    <t>慈善団体への寛大の寄付 形</t>
    <rPh sb="0" eb="4">
      <t>ジゼンダンタイ</t>
    </rPh>
    <rPh sb="6" eb="8">
      <t>カンダイ</t>
    </rPh>
    <rPh sb="9" eb="11">
      <t>キフ</t>
    </rPh>
    <rPh sb="12" eb="13">
      <t>カタチ</t>
    </rPh>
    <phoneticPr fontId="1"/>
  </si>
  <si>
    <t>a generous donation to a charity</t>
  </si>
  <si>
    <t>契約を取りまとめる　動</t>
    <rPh sb="0" eb="2">
      <t>ケイヤク</t>
    </rPh>
    <rPh sb="3" eb="4">
      <t>ト</t>
    </rPh>
    <rPh sb="10" eb="11">
      <t>ドウ</t>
    </rPh>
    <phoneticPr fontId="1"/>
  </si>
  <si>
    <t>finalize a contract</t>
  </si>
  <si>
    <t>きちんと訓練されたスタッフ　副</t>
    <rPh sb="4" eb="6">
      <t>クンレン</t>
    </rPh>
    <rPh sb="14" eb="15">
      <t>フク</t>
    </rPh>
    <phoneticPr fontId="1"/>
  </si>
  <si>
    <t>properly trained staff</t>
  </si>
  <si>
    <t>歴史に特に興味がある　副</t>
    <rPh sb="0" eb="2">
      <t>レキシ</t>
    </rPh>
    <rPh sb="3" eb="4">
      <t>トク</t>
    </rPh>
    <rPh sb="5" eb="7">
      <t>キョウミ</t>
    </rPh>
    <rPh sb="11" eb="12">
      <t>フク</t>
    </rPh>
    <phoneticPr fontId="1"/>
  </si>
  <si>
    <t>particularly intersted in history</t>
  </si>
  <si>
    <t>購入の証明</t>
    <rPh sb="0" eb="2">
      <t>コウニュウ</t>
    </rPh>
    <rPh sb="3" eb="5">
      <t>ショウメイ</t>
    </rPh>
    <phoneticPr fontId="1"/>
  </si>
  <si>
    <t>proof of purchase</t>
  </si>
  <si>
    <t>欠陥のある製品を返品する</t>
    <rPh sb="0" eb="2">
      <t>ケッカ</t>
    </rPh>
    <rPh sb="5" eb="7">
      <t>セイヒn</t>
    </rPh>
    <rPh sb="8" eb="10">
      <t>ヘンピn</t>
    </rPh>
    <phoneticPr fontId="1"/>
  </si>
  <si>
    <t>return a defective product</t>
  </si>
  <si>
    <t>私の運転免許証は4月に期限が切れます。</t>
    <rPh sb="0" eb="1">
      <t>ワタセィ</t>
    </rPh>
    <rPh sb="11" eb="13">
      <t>キゲn</t>
    </rPh>
    <phoneticPr fontId="1"/>
  </si>
  <si>
    <t>My driver's license expires in April.</t>
  </si>
  <si>
    <t>経験豊富で献身的なスタッフ</t>
    <rPh sb="0" eb="4">
      <t>ケイケn</t>
    </rPh>
    <rPh sb="5" eb="8">
      <t>ケンシンテキ</t>
    </rPh>
    <phoneticPr fontId="1"/>
  </si>
  <si>
    <t>experienced and dedicated staff</t>
  </si>
  <si>
    <t>かなりの額のコストを削減する</t>
    <rPh sb="4" eb="5">
      <t>ガク</t>
    </rPh>
    <rPh sb="10" eb="12">
      <t>サクゲn</t>
    </rPh>
    <phoneticPr fontId="1"/>
  </si>
  <si>
    <t>reduce costs by a substantial amount</t>
  </si>
  <si>
    <t>数名の専門家は〜と予想している</t>
    <rPh sb="0" eb="2">
      <t>スウ</t>
    </rPh>
    <rPh sb="9" eb="11">
      <t>ヨソウ</t>
    </rPh>
    <phoneticPr fontId="1"/>
  </si>
  <si>
    <t>some experts predict that</t>
  </si>
  <si>
    <t>会社を買収する</t>
    <rPh sb="0" eb="2">
      <t>カイセィア</t>
    </rPh>
    <phoneticPr fontId="1"/>
  </si>
  <si>
    <t>acquire a company</t>
  </si>
  <si>
    <t>十分な時間</t>
    <rPh sb="0" eb="2">
      <t>ジュウブn</t>
    </rPh>
    <phoneticPr fontId="1"/>
  </si>
  <si>
    <t>sufficient time</t>
  </si>
  <si>
    <t>不動産投資</t>
    <rPh sb="0" eb="1">
      <t>フドウ</t>
    </rPh>
    <phoneticPr fontId="1"/>
  </si>
  <si>
    <t>real investment</t>
  </si>
  <si>
    <t>料理学校</t>
    <rPh sb="0" eb="4">
      <t>リョウリガッコウ</t>
    </rPh>
    <phoneticPr fontId="1"/>
  </si>
  <si>
    <t>culinary institute</t>
    <phoneticPr fontId="1"/>
  </si>
  <si>
    <t>旅行券</t>
    <rPh sb="0" eb="1">
      <t>リョコウ</t>
    </rPh>
    <phoneticPr fontId="1"/>
  </si>
  <si>
    <t>a travel voucher</t>
  </si>
  <si>
    <t>前回のやり取りで</t>
    <rPh sb="0" eb="2">
      <t>ゼn</t>
    </rPh>
    <phoneticPr fontId="1"/>
  </si>
  <si>
    <t>in the previous correspondence</t>
  </si>
  <si>
    <t>壮観な夕焼け</t>
    <rPh sb="0" eb="2">
      <t>ソウカン</t>
    </rPh>
    <rPh sb="3" eb="5">
      <t>ユウヤ</t>
    </rPh>
    <phoneticPr fontId="1"/>
  </si>
  <si>
    <t>a spectacular sunset</t>
  </si>
  <si>
    <t>指定の駐車区域</t>
    <rPh sb="0" eb="2">
      <t>シテイ</t>
    </rPh>
    <rPh sb="3" eb="7">
      <t>チュウシャクイキ</t>
    </rPh>
    <phoneticPr fontId="1"/>
  </si>
  <si>
    <t>a designated parking area</t>
  </si>
  <si>
    <t>日本企業の子会社</t>
    <rPh sb="0" eb="4">
      <t>ニホンキギョウ</t>
    </rPh>
    <rPh sb="5" eb="8">
      <t>コガイシャ</t>
    </rPh>
    <phoneticPr fontId="1"/>
  </si>
  <si>
    <t>a subsidiary of a Japanese company</t>
  </si>
  <si>
    <t>家族でのお出かけ</t>
    <rPh sb="0" eb="2">
      <t>カゾク</t>
    </rPh>
    <rPh sb="5" eb="6">
      <t>デ</t>
    </rPh>
    <phoneticPr fontId="1"/>
  </si>
  <si>
    <t>family outings</t>
  </si>
  <si>
    <t>絵のように美しい村</t>
    <rPh sb="0" eb="1">
      <t>エノ</t>
    </rPh>
    <rPh sb="8" eb="9">
      <t xml:space="preserve">ムラ </t>
    </rPh>
    <phoneticPr fontId="1"/>
  </si>
  <si>
    <t>a picturesque village</t>
    <phoneticPr fontId="1"/>
  </si>
  <si>
    <t>効果的な広告キャンペーン</t>
    <rPh sb="0" eb="3">
      <t>コウカテキ</t>
    </rPh>
    <rPh sb="4" eb="6">
      <t>コウコク</t>
    </rPh>
    <phoneticPr fontId="1"/>
  </si>
  <si>
    <t>effective advertising campaigns</t>
  </si>
  <si>
    <t>販促物</t>
    <rPh sb="0" eb="1">
      <t>ハンソク</t>
    </rPh>
    <phoneticPr fontId="1"/>
  </si>
  <si>
    <t>promotional materials</t>
  </si>
  <si>
    <t>利益を生み出す</t>
    <rPh sb="0" eb="2">
      <t>リエキ</t>
    </rPh>
    <phoneticPr fontId="1"/>
  </si>
  <si>
    <t>generate profits</t>
  </si>
  <si>
    <t>規則の遵守</t>
    <rPh sb="0" eb="2">
      <t>キソク</t>
    </rPh>
    <rPh sb="3" eb="5">
      <t>ジュンシュ</t>
    </rPh>
    <phoneticPr fontId="1"/>
  </si>
  <si>
    <t>in compliance with regulation</t>
  </si>
  <si>
    <t>素晴らしいプレゼンを行う</t>
    <rPh sb="0" eb="2">
      <t>スバラセィ</t>
    </rPh>
    <rPh sb="10" eb="11">
      <t>オコナウ</t>
    </rPh>
    <phoneticPr fontId="1"/>
  </si>
  <si>
    <t>give a superb presentation</t>
  </si>
  <si>
    <t>荒れた天気</t>
    <rPh sb="0" eb="1">
      <t>ア</t>
    </rPh>
    <rPh sb="3" eb="5">
      <t>テンキ</t>
    </rPh>
    <phoneticPr fontId="1"/>
  </si>
  <si>
    <t>inclement weather</t>
  </si>
  <si>
    <t>出発予定日</t>
    <rPh sb="0" eb="2">
      <t>シュッパツ</t>
    </rPh>
    <rPh sb="2" eb="5">
      <t>ヨテイビ</t>
    </rPh>
    <phoneticPr fontId="1"/>
  </si>
  <si>
    <t>the scheduled departure</t>
  </si>
  <si>
    <t>大幅な値引き</t>
    <rPh sb="0" eb="2">
      <t>オオハバ</t>
    </rPh>
    <rPh sb="3" eb="5">
      <t>ネビ</t>
    </rPh>
    <phoneticPr fontId="1"/>
  </si>
  <si>
    <t>significant saving</t>
    <phoneticPr fontId="1"/>
  </si>
  <si>
    <t>正確な売り上げの数字</t>
    <rPh sb="0" eb="2">
      <t>セイカク</t>
    </rPh>
    <rPh sb="3" eb="4">
      <t>ウ</t>
    </rPh>
    <rPh sb="5" eb="6">
      <t>ア</t>
    </rPh>
    <rPh sb="8" eb="10">
      <t>スウジ</t>
    </rPh>
    <phoneticPr fontId="1"/>
  </si>
  <si>
    <t>accurate sales figures</t>
  </si>
  <si>
    <t>実務の経験</t>
    <rPh sb="0" eb="2">
      <t>ジツム</t>
    </rPh>
    <rPh sb="3" eb="5">
      <t>ケイケン</t>
    </rPh>
    <phoneticPr fontId="1"/>
  </si>
  <si>
    <t>practical experience</t>
  </si>
  <si>
    <t>本の宣伝をする</t>
    <rPh sb="0" eb="1">
      <t>ホン</t>
    </rPh>
    <rPh sb="2" eb="4">
      <t>センデン</t>
    </rPh>
    <phoneticPr fontId="1"/>
  </si>
  <si>
    <t>publicize a book</t>
  </si>
  <si>
    <t>レシートを保管する</t>
  </si>
  <si>
    <t>retain a receipt</t>
  </si>
  <si>
    <t>複製の鍵（合鍵）</t>
    <rPh sb="0" eb="2">
      <t>フクセイ</t>
    </rPh>
    <rPh sb="3" eb="4">
      <t>カギ</t>
    </rPh>
    <rPh sb="5" eb="7">
      <t>アイカギ</t>
    </rPh>
    <phoneticPr fontId="1"/>
  </si>
  <si>
    <t>a duplicate key</t>
  </si>
  <si>
    <t>毎日の生活に運動を取り入れる</t>
    <rPh sb="0" eb="2">
      <t>マイニティ</t>
    </rPh>
    <rPh sb="6" eb="8">
      <t>ウンドウ</t>
    </rPh>
    <rPh sb="9" eb="10">
      <t>トリイレ</t>
    </rPh>
    <phoneticPr fontId="1"/>
  </si>
  <si>
    <t>incorporate exercise into everyday life</t>
    <phoneticPr fontId="1"/>
  </si>
  <si>
    <t>私はそのプロジェクトに関わっていなかった　形</t>
    <rPh sb="0" eb="1">
      <t>ワタシ</t>
    </rPh>
    <rPh sb="11" eb="12">
      <t>カカ</t>
    </rPh>
    <rPh sb="21" eb="22">
      <t>カタチ</t>
    </rPh>
    <phoneticPr fontId="1"/>
  </si>
  <si>
    <t>I was not involved with the project.</t>
  </si>
  <si>
    <t>補助金を得る</t>
    <rPh sb="0" eb="3">
      <t>ホジョキン</t>
    </rPh>
    <rPh sb="4" eb="5">
      <t>エ</t>
    </rPh>
    <phoneticPr fontId="1"/>
  </si>
  <si>
    <t>obtain a grant</t>
  </si>
  <si>
    <t>壊れやすい物</t>
    <rPh sb="0" eb="1">
      <t>コワ</t>
    </rPh>
    <rPh sb="5" eb="6">
      <t>モノ</t>
    </rPh>
    <phoneticPr fontId="1"/>
  </si>
  <si>
    <t>fragile items</t>
  </si>
  <si>
    <t>交通の混乱を引き起こす</t>
    <rPh sb="0" eb="2">
      <t>コウツウ</t>
    </rPh>
    <rPh sb="3" eb="5">
      <t>コンラン</t>
    </rPh>
    <rPh sb="6" eb="7">
      <t>ヒ</t>
    </rPh>
    <rPh sb="8" eb="9">
      <t>オ</t>
    </rPh>
    <phoneticPr fontId="1"/>
  </si>
  <si>
    <t>cause disruption to traffic</t>
  </si>
  <si>
    <t>本物の芸術作品</t>
    <rPh sb="0" eb="2">
      <t>ホンモノ</t>
    </rPh>
    <rPh sb="3" eb="7">
      <t>ゲイジュツサクヒン</t>
    </rPh>
    <phoneticPr fontId="1"/>
  </si>
  <si>
    <t>authentic works of art</t>
  </si>
  <si>
    <t>仮のスケジュール</t>
    <rPh sb="0" eb="1">
      <t>カリ</t>
    </rPh>
    <phoneticPr fontId="1"/>
  </si>
  <si>
    <t>a tentative schedule</t>
  </si>
  <si>
    <t>記事を校正する</t>
    <rPh sb="0" eb="2">
      <t>キジ</t>
    </rPh>
    <rPh sb="3" eb="5">
      <t>コウセイ</t>
    </rPh>
    <phoneticPr fontId="1"/>
  </si>
  <si>
    <t>proofread an article</t>
  </si>
  <si>
    <t>罰金を受ける</t>
    <rPh sb="0" eb="2">
      <t>バッキン</t>
    </rPh>
    <rPh sb="3" eb="4">
      <t>ウ</t>
    </rPh>
    <phoneticPr fontId="1"/>
  </si>
  <si>
    <t>incur a fine</t>
  </si>
  <si>
    <t>圧倒的に好意的な反応</t>
    <rPh sb="0" eb="3">
      <t>アットウテキ</t>
    </rPh>
    <rPh sb="4" eb="7">
      <t>コウイテキ</t>
    </rPh>
    <rPh sb="8" eb="10">
      <t>ハンノウ</t>
    </rPh>
    <phoneticPr fontId="1"/>
  </si>
  <si>
    <t>an overwhelmingly positive response</t>
  </si>
  <si>
    <t>厳格な検査工程</t>
    <rPh sb="0" eb="2">
      <t>ゲンカク</t>
    </rPh>
    <rPh sb="3" eb="7">
      <t>ケンサコウテイ</t>
    </rPh>
    <phoneticPr fontId="1"/>
  </si>
  <si>
    <t>a rigorous testing process</t>
  </si>
  <si>
    <t>その規則は全社員に適用されます。</t>
    <rPh sb="5" eb="8">
      <t>ゼンシャイn</t>
    </rPh>
    <rPh sb="9" eb="11">
      <t>テキヨウ</t>
    </rPh>
    <phoneticPr fontId="1"/>
  </si>
  <si>
    <t>The rule is applicable to all employees.</t>
    <phoneticPr fontId="1"/>
  </si>
  <si>
    <t>システムを簡素化する</t>
    <rPh sb="5" eb="8">
      <t>カンソカ</t>
    </rPh>
    <phoneticPr fontId="1"/>
  </si>
  <si>
    <t>simplify a system</t>
    <phoneticPr fontId="1"/>
  </si>
  <si>
    <t>金融機関</t>
    <rPh sb="0" eb="4">
      <t>キンユウキカン</t>
    </rPh>
    <phoneticPr fontId="1"/>
  </si>
  <si>
    <t>a financial institution</t>
  </si>
  <si>
    <t>従業員を褒めるための手紙</t>
    <rPh sb="0" eb="1">
      <t>ジュウギョウ</t>
    </rPh>
    <rPh sb="10" eb="12">
      <t>テガ</t>
    </rPh>
    <phoneticPr fontId="1"/>
  </si>
  <si>
    <t>a letter to commend an employee.</t>
    <phoneticPr fontId="1"/>
  </si>
  <si>
    <t>非常に期待されている新刊</t>
    <rPh sb="0" eb="1">
      <t>ヒジョウ</t>
    </rPh>
    <rPh sb="10" eb="12">
      <t>シンカn</t>
    </rPh>
    <phoneticPr fontId="1"/>
  </si>
  <si>
    <t>the highly anticipated new book</t>
  </si>
  <si>
    <t>評論家に絶賛されている映画</t>
    <rPh sb="0" eb="1">
      <t>ヒョウロn</t>
    </rPh>
    <rPh sb="4" eb="6">
      <t>ゼッサn</t>
    </rPh>
    <phoneticPr fontId="1"/>
  </si>
  <si>
    <t>acritically acclaimed movie</t>
  </si>
  <si>
    <t>イベントの期間中</t>
    <rPh sb="5" eb="8">
      <t>キカn</t>
    </rPh>
    <phoneticPr fontId="1"/>
  </si>
  <si>
    <t>for the duration of the event</t>
  </si>
  <si>
    <t>注目すべき特徴</t>
    <rPh sb="0" eb="2">
      <t>チュウモク</t>
    </rPh>
    <rPh sb="5" eb="7">
      <t>トクチョウ</t>
    </rPh>
    <phoneticPr fontId="1"/>
  </si>
  <si>
    <t>a notable feature</t>
  </si>
  <si>
    <t>寄付を募る</t>
    <rPh sb="0" eb="2">
      <t>キフ</t>
    </rPh>
    <rPh sb="3" eb="4">
      <t>ツノ</t>
    </rPh>
    <phoneticPr fontId="1"/>
  </si>
  <si>
    <t>solicit donations</t>
  </si>
  <si>
    <t>収益は慈善活動に回されます。</t>
    <rPh sb="0" eb="2">
      <t>シュウエキ</t>
    </rPh>
    <rPh sb="3" eb="7">
      <t>ジゼンカツドウ</t>
    </rPh>
    <rPh sb="8" eb="9">
      <t>マワ</t>
    </rPh>
    <phoneticPr fontId="1"/>
  </si>
  <si>
    <t>The proceeds will go to charity.</t>
  </si>
  <si>
    <t>授業料を支払う</t>
    <rPh sb="0" eb="3">
      <t>ジュギョウリョウ</t>
    </rPh>
    <rPh sb="4" eb="6">
      <t>シハラ</t>
    </rPh>
    <phoneticPr fontId="1"/>
  </si>
  <si>
    <t>pay tuition fees</t>
  </si>
  <si>
    <t>あなたは損害の補償を受けます。</t>
    <rPh sb="4" eb="6">
      <t>ソンガイ</t>
    </rPh>
    <rPh sb="7" eb="9">
      <t>ホショウ</t>
    </rPh>
    <rPh sb="10" eb="11">
      <t>ウ</t>
    </rPh>
    <phoneticPr fontId="1"/>
  </si>
  <si>
    <t>You will be compensated for the damage.</t>
  </si>
  <si>
    <t>並外れた顧客サービス</t>
    <rPh sb="0" eb="2">
      <t>ナミハズレ</t>
    </rPh>
    <rPh sb="4" eb="6">
      <t>コキャク</t>
    </rPh>
    <phoneticPr fontId="1"/>
  </si>
  <si>
    <t>exceptional customer service</t>
    <phoneticPr fontId="1"/>
  </si>
  <si>
    <t>新商品を披露する</t>
    <rPh sb="0" eb="3">
      <t>シンショウヒン</t>
    </rPh>
    <rPh sb="4" eb="6">
      <t>ヒロウ</t>
    </rPh>
    <phoneticPr fontId="1"/>
  </si>
  <si>
    <t>unveil a new product</t>
  </si>
  <si>
    <t>記念日を祝う</t>
    <rPh sb="0" eb="3">
      <t>キネンビ</t>
    </rPh>
    <rPh sb="4" eb="5">
      <t>イワ</t>
    </rPh>
    <phoneticPr fontId="1"/>
  </si>
  <si>
    <t>commemorate an anniversary</t>
  </si>
  <si>
    <t>そのデザートはメインディッシュに合う</t>
    <phoneticPr fontId="1"/>
  </si>
  <si>
    <t>The dessert complements the main dish.</t>
    <phoneticPr fontId="1"/>
  </si>
  <si>
    <t>会員資格が失効しないようにしてください</t>
    <rPh sb="0" eb="4">
      <t>カイイn</t>
    </rPh>
    <rPh sb="5" eb="7">
      <t>シッコウ</t>
    </rPh>
    <phoneticPr fontId="1"/>
  </si>
  <si>
    <t>Don't let your membership lapse.</t>
    <phoneticPr fontId="1"/>
  </si>
  <si>
    <t>データを取り出す</t>
    <rPh sb="4" eb="5">
      <t>ト</t>
    </rPh>
    <rPh sb="6" eb="7">
      <t>ダ</t>
    </rPh>
    <phoneticPr fontId="1"/>
  </si>
  <si>
    <t>retrieve the data</t>
  </si>
  <si>
    <t>休憩時間中に</t>
    <rPh sb="0" eb="4">
      <t>キュウケイジカン</t>
    </rPh>
    <rPh sb="4" eb="5">
      <t>チュウ</t>
    </rPh>
    <phoneticPr fontId="1"/>
  </si>
  <si>
    <t>during the intermission</t>
  </si>
  <si>
    <t>お客様に動機付けを提供する</t>
    <rPh sb="0" eb="1">
      <t>オキャク</t>
    </rPh>
    <rPh sb="9" eb="11">
      <t>テイキョウ</t>
    </rPh>
    <phoneticPr fontId="1"/>
  </si>
  <si>
    <t>offer incentives to customers</t>
    <phoneticPr fontId="1"/>
  </si>
  <si>
    <t>去年の売り上げを超える</t>
    <rPh sb="0" eb="2">
      <t>キョネn</t>
    </rPh>
    <rPh sb="8" eb="9">
      <t>コエ</t>
    </rPh>
    <phoneticPr fontId="1"/>
  </si>
  <si>
    <t>surpass last year's sales</t>
    <phoneticPr fontId="1"/>
  </si>
  <si>
    <t>余分な販促物</t>
    <rPh sb="0" eb="2">
      <t>ヨブn</t>
    </rPh>
    <rPh sb="3" eb="6">
      <t>ハンソク</t>
    </rPh>
    <phoneticPr fontId="1"/>
  </si>
  <si>
    <t>surplus promotional materials</t>
    <phoneticPr fontId="1"/>
  </si>
  <si>
    <t>高温に耐える</t>
    <rPh sb="0" eb="2">
      <t>コウオn</t>
    </rPh>
    <phoneticPr fontId="1"/>
  </si>
  <si>
    <t>withstand high temperatures</t>
    <phoneticPr fontId="1"/>
  </si>
  <si>
    <t>省エネの提唱者</t>
    <rPh sb="0" eb="1">
      <t>ショウエネ</t>
    </rPh>
    <phoneticPr fontId="1"/>
  </si>
  <si>
    <t>an advocate for energy efficiency</t>
  </si>
  <si>
    <t>作家志望</t>
    <rPh sb="0" eb="1">
      <t>サッカセィ</t>
    </rPh>
    <phoneticPr fontId="1"/>
  </si>
  <si>
    <t>an aspiring writer</t>
  </si>
  <si>
    <t>詰め合わせの果物と野菜</t>
    <rPh sb="0" eb="1">
      <t>ツメアワセ</t>
    </rPh>
    <rPh sb="6" eb="8">
      <t>クダモノ</t>
    </rPh>
    <phoneticPr fontId="1"/>
  </si>
  <si>
    <t>assorted fruits and vegetables</t>
    <phoneticPr fontId="1"/>
  </si>
  <si>
    <t>科学者としての優れた才能</t>
    <rPh sb="0" eb="3">
      <t>カガクセィア</t>
    </rPh>
    <rPh sb="7" eb="8">
      <t>スグレ</t>
    </rPh>
    <phoneticPr fontId="1"/>
  </si>
  <si>
    <t>excellent credentials as a scientist</t>
    <phoneticPr fontId="1"/>
  </si>
  <si>
    <t>車内便</t>
    <rPh sb="0" eb="3">
      <t>シャナイ</t>
    </rPh>
    <phoneticPr fontId="1"/>
  </si>
  <si>
    <t>interoffice mail</t>
    <phoneticPr fontId="1"/>
  </si>
  <si>
    <t>機械の故障</t>
    <rPh sb="0" eb="1">
      <t>キカイ</t>
    </rPh>
    <phoneticPr fontId="1"/>
  </si>
  <si>
    <t>a machine malfunction</t>
    <phoneticPr fontId="1"/>
  </si>
  <si>
    <t>互いに利益になる関係</t>
    <rPh sb="0" eb="1">
      <t>タガイ</t>
    </rPh>
    <phoneticPr fontId="1"/>
  </si>
  <si>
    <t>a mutually beneficial relationship</t>
    <phoneticPr fontId="1"/>
  </si>
  <si>
    <t>ウェブサイトを定期的にチェックする</t>
    <rPh sb="7" eb="10">
      <t>テイキテキ</t>
    </rPh>
    <phoneticPr fontId="1"/>
  </si>
  <si>
    <t>check the Web site periodically</t>
    <phoneticPr fontId="1"/>
  </si>
  <si>
    <t>著作権法</t>
    <rPh sb="0" eb="4">
      <t>チョサク</t>
    </rPh>
    <phoneticPr fontId="1"/>
  </si>
  <si>
    <t>copyright low</t>
    <phoneticPr fontId="1"/>
  </si>
  <si>
    <t>手ごろな値段で栄養のある料理</t>
    <rPh sb="0" eb="2">
      <t>テゴロ</t>
    </rPh>
    <rPh sb="4" eb="6">
      <t>ネダンデ</t>
    </rPh>
    <rPh sb="7" eb="9">
      <t>エイヨウ</t>
    </rPh>
    <rPh sb="12" eb="14">
      <t>リョウリ</t>
    </rPh>
    <phoneticPr fontId="1"/>
  </si>
  <si>
    <t>affordable and nutritious dishes</t>
    <phoneticPr fontId="1"/>
  </si>
  <si>
    <t>結論に一人で責任を持つ</t>
    <rPh sb="0" eb="2">
      <t>ケテゥ</t>
    </rPh>
    <rPh sb="3" eb="5">
      <t>ヒト</t>
    </rPh>
    <rPh sb="6" eb="8">
      <t>セキニn</t>
    </rPh>
    <rPh sb="9" eb="10">
      <t>モテゥ</t>
    </rPh>
    <phoneticPr fontId="1"/>
  </si>
  <si>
    <t>be solely responsible for the decision</t>
    <phoneticPr fontId="1"/>
  </si>
  <si>
    <t>良好なコミュニケーションが職場では不可欠だ</t>
    <rPh sb="0" eb="2">
      <t>リョウコ</t>
    </rPh>
    <rPh sb="13" eb="15">
      <t>ショク</t>
    </rPh>
    <rPh sb="17" eb="20">
      <t>フカケテゥ</t>
    </rPh>
    <phoneticPr fontId="1"/>
  </si>
  <si>
    <t>Good communication is vital in the workplace</t>
    <phoneticPr fontId="1"/>
  </si>
  <si>
    <t>数えきれないほど何度も</t>
    <rPh sb="0" eb="1">
      <t>カゾエ</t>
    </rPh>
    <rPh sb="8" eb="10">
      <t>ナンド</t>
    </rPh>
    <phoneticPr fontId="1"/>
  </si>
  <si>
    <t>countless times</t>
    <phoneticPr fontId="1"/>
  </si>
  <si>
    <t>計画を実行する</t>
    <rPh sb="0" eb="2">
      <t>ケイカク</t>
    </rPh>
    <rPh sb="3" eb="5">
      <t>ジッコウ</t>
    </rPh>
    <phoneticPr fontId="1"/>
  </si>
  <si>
    <t>execute a plan</t>
    <phoneticPr fontId="1"/>
  </si>
  <si>
    <t>良い労働環境を促進する</t>
    <rPh sb="0" eb="1">
      <t>イ</t>
    </rPh>
    <rPh sb="2" eb="6">
      <t>ロウドウカンキョウ</t>
    </rPh>
    <rPh sb="7" eb="9">
      <t>ソクシン</t>
    </rPh>
    <phoneticPr fontId="1"/>
  </si>
  <si>
    <t xml:space="preserve">foster a good work environment </t>
    <phoneticPr fontId="1"/>
  </si>
  <si>
    <t>交渉を開始する</t>
    <rPh sb="0" eb="2">
      <t>コウショウ</t>
    </rPh>
    <rPh sb="3" eb="5">
      <t>カイシ</t>
    </rPh>
    <phoneticPr fontId="1"/>
  </si>
  <si>
    <t>initiate a negotiation</t>
    <phoneticPr fontId="1"/>
  </si>
  <si>
    <t>透明のグラス</t>
    <rPh sb="0" eb="2">
      <t>トウメイ</t>
    </rPh>
    <phoneticPr fontId="1"/>
  </si>
  <si>
    <t>transparent glass</t>
    <phoneticPr fontId="1"/>
  </si>
  <si>
    <t>そのイベントは私の誕生日と重なっている。</t>
    <rPh sb="7" eb="8">
      <t>ワタシ</t>
    </rPh>
    <rPh sb="9" eb="12">
      <t>タンジョウビ</t>
    </rPh>
    <rPh sb="13" eb="14">
      <t>カサ</t>
    </rPh>
    <phoneticPr fontId="1"/>
  </si>
  <si>
    <t>The event coincides with my birthday.</t>
    <phoneticPr fontId="1"/>
  </si>
  <si>
    <t>そのレポートはわかりやすく簡潔だった。</t>
    <rPh sb="13" eb="15">
      <t>カンケツ</t>
    </rPh>
    <phoneticPr fontId="1"/>
  </si>
  <si>
    <t>The report was clear and concise.</t>
    <phoneticPr fontId="1"/>
  </si>
  <si>
    <t>日本からの技術者からの代表団</t>
    <rPh sb="0" eb="2">
      <t>ニホン</t>
    </rPh>
    <rPh sb="5" eb="8">
      <t>ギジュツシャ</t>
    </rPh>
    <rPh sb="11" eb="14">
      <t>ダイヒョウダン</t>
    </rPh>
    <phoneticPr fontId="1"/>
  </si>
  <si>
    <t>a delegation of engineers from Japan</t>
    <phoneticPr fontId="1"/>
  </si>
  <si>
    <t>期待に反して</t>
    <rPh sb="0" eb="1">
      <t>キタイ</t>
    </rPh>
    <phoneticPr fontId="1"/>
  </si>
  <si>
    <t>contrary to expectations</t>
    <phoneticPr fontId="1"/>
  </si>
  <si>
    <t>部門を監査する</t>
    <rPh sb="0" eb="2">
      <t>ブモン</t>
    </rPh>
    <rPh sb="3" eb="5">
      <t>カンサ</t>
    </rPh>
    <phoneticPr fontId="1"/>
  </si>
  <si>
    <t>oversee a department</t>
  </si>
  <si>
    <t>計画を承認する</t>
    <rPh sb="0" eb="2">
      <t>ケイカク</t>
    </rPh>
    <rPh sb="3" eb="5">
      <t>ショウニン</t>
    </rPh>
    <phoneticPr fontId="1"/>
  </si>
  <si>
    <t>approve a plan</t>
  </si>
  <si>
    <t>雑誌に目立って掲載されている</t>
    <rPh sb="0" eb="2">
      <t>ザッセィ</t>
    </rPh>
    <rPh sb="3" eb="5">
      <t>メダッテ</t>
    </rPh>
    <rPh sb="7" eb="9">
      <t>ケイサイ</t>
    </rPh>
    <phoneticPr fontId="1"/>
  </si>
  <si>
    <t>prominently displayed in a magazine</t>
    <phoneticPr fontId="1"/>
  </si>
  <si>
    <t>プロジェクトの仕様書</t>
    <rPh sb="7" eb="10">
      <t>シヨウショ</t>
    </rPh>
    <phoneticPr fontId="1"/>
  </si>
  <si>
    <t>specifications for the project</t>
  </si>
  <si>
    <t>個人の逸話</t>
    <rPh sb="0" eb="2">
      <t>コジン</t>
    </rPh>
    <rPh sb="3" eb="5">
      <t>イツワ</t>
    </rPh>
    <phoneticPr fontId="1"/>
  </si>
  <si>
    <t>personal anecdotes</t>
  </si>
  <si>
    <t>見込み客</t>
    <rPh sb="0" eb="2">
      <t>ミコミ</t>
    </rPh>
    <phoneticPr fontId="1"/>
  </si>
  <si>
    <t>prospective customers</t>
    <phoneticPr fontId="1"/>
  </si>
  <si>
    <t>視界をさえぎる</t>
    <rPh sb="0" eb="2">
      <t>シカイ</t>
    </rPh>
    <phoneticPr fontId="1"/>
  </si>
  <si>
    <t>obstruct the view</t>
    <phoneticPr fontId="1"/>
  </si>
  <si>
    <t>オークランドの天気はとても快適です。</t>
    <rPh sb="0" eb="1">
      <t>オークランドノ</t>
    </rPh>
    <rPh sb="7" eb="9">
      <t>テンキ</t>
    </rPh>
    <rPh sb="13" eb="15">
      <t>カイテキ</t>
    </rPh>
    <phoneticPr fontId="1"/>
  </si>
  <si>
    <t>The weather in Auckland is quite agreeable</t>
    <phoneticPr fontId="1"/>
  </si>
  <si>
    <t>妥協点に達する</t>
    <rPh sb="0" eb="3">
      <t>ダキョウ</t>
    </rPh>
    <rPh sb="4" eb="5">
      <t>タッス</t>
    </rPh>
    <phoneticPr fontId="1"/>
  </si>
  <si>
    <t>reach a compromise</t>
    <phoneticPr fontId="1"/>
  </si>
  <si>
    <t>絶え間ない質の改善</t>
    <rPh sb="0" eb="1">
      <t>タエマ</t>
    </rPh>
    <rPh sb="5" eb="6">
      <t>シテゥ</t>
    </rPh>
    <phoneticPr fontId="1"/>
  </si>
  <si>
    <t>continuous improvement of quality</t>
    <phoneticPr fontId="1"/>
  </si>
  <si>
    <t>キャリアアップのための有り余る機会</t>
    <rPh sb="11" eb="12">
      <t>アリアマル</t>
    </rPh>
    <rPh sb="15" eb="17">
      <t>キカイ</t>
    </rPh>
    <phoneticPr fontId="1"/>
  </si>
  <si>
    <t>abundant opportunities for career advancement</t>
  </si>
  <si>
    <t>私は疲れ切っていた</t>
    <rPh sb="0" eb="1">
      <t>ワタセィ</t>
    </rPh>
    <rPh sb="2" eb="3">
      <t>ツカレ</t>
    </rPh>
    <phoneticPr fontId="1"/>
  </si>
  <si>
    <t>I was exhausted</t>
    <phoneticPr fontId="1"/>
  </si>
  <si>
    <t>栄えている町</t>
    <rPh sb="0" eb="1">
      <t>サカ</t>
    </rPh>
    <phoneticPr fontId="1"/>
  </si>
  <si>
    <t>a prosperous town</t>
    <phoneticPr fontId="1"/>
  </si>
  <si>
    <t>激しい競争</t>
    <rPh sb="0" eb="1">
      <t>ハゲシイ</t>
    </rPh>
    <phoneticPr fontId="1"/>
  </si>
  <si>
    <t>fierce competition</t>
    <phoneticPr fontId="1"/>
  </si>
  <si>
    <t>最初の提示価格</t>
    <rPh sb="0" eb="1">
      <t>サイセィオ</t>
    </rPh>
    <rPh sb="3" eb="7">
      <t>テイゼィ</t>
    </rPh>
    <phoneticPr fontId="1"/>
  </si>
  <si>
    <t>the original quote</t>
    <phoneticPr fontId="1"/>
  </si>
  <si>
    <t>不振の売上に対する改善策</t>
    <rPh sb="0" eb="2">
      <t>フシn</t>
    </rPh>
    <rPh sb="3" eb="5">
      <t>ウリアゲ</t>
    </rPh>
    <rPh sb="9" eb="12">
      <t>カイゼn</t>
    </rPh>
    <phoneticPr fontId="1"/>
  </si>
  <si>
    <t>a remedy for slow sales</t>
    <phoneticPr fontId="1"/>
  </si>
  <si>
    <t>建設作業は9月に始まる</t>
    <rPh sb="0" eb="1">
      <t>ケンセテゥ</t>
    </rPh>
    <rPh sb="6" eb="7">
      <t>ガテゥ</t>
    </rPh>
    <rPh sb="8" eb="9">
      <t>ハジマル</t>
    </rPh>
    <phoneticPr fontId="1"/>
  </si>
  <si>
    <t>Construction will commence in September</t>
    <phoneticPr fontId="1"/>
  </si>
  <si>
    <t>地域を再活性化する</t>
    <rPh sb="0" eb="1">
      <t>チイキ</t>
    </rPh>
    <rPh sb="3" eb="7">
      <t>サイカッセイ</t>
    </rPh>
    <phoneticPr fontId="1"/>
  </si>
  <si>
    <t>revitalize a community</t>
    <phoneticPr fontId="1"/>
  </si>
  <si>
    <t>権威のある賞</t>
    <rPh sb="0" eb="2">
      <t>ケンイ</t>
    </rPh>
    <rPh sb="5" eb="6">
      <t>ショウ</t>
    </rPh>
    <phoneticPr fontId="1"/>
  </si>
  <si>
    <t>a prestigious award</t>
  </si>
  <si>
    <t>男性が気乗りしないことは何ですか？</t>
    <rPh sb="0" eb="2">
      <t>ダンセイ</t>
    </rPh>
    <rPh sb="3" eb="5">
      <t>キノリ</t>
    </rPh>
    <rPh sb="12" eb="13">
      <t>ナンデス</t>
    </rPh>
    <phoneticPr fontId="1"/>
  </si>
  <si>
    <t>What is the man reluctant to do?</t>
    <phoneticPr fontId="1"/>
  </si>
  <si>
    <t>その広告は誤解を招く恐れがあった。</t>
    <rPh sb="2" eb="4">
      <t>コウコク</t>
    </rPh>
    <rPh sb="5" eb="7">
      <t>ゴカイ</t>
    </rPh>
    <rPh sb="8" eb="9">
      <t>マネ</t>
    </rPh>
    <rPh sb="10" eb="11">
      <t>オソ</t>
    </rPh>
    <phoneticPr fontId="1"/>
  </si>
  <si>
    <t>The advertisement was misleading.</t>
    <phoneticPr fontId="1"/>
  </si>
  <si>
    <t>問題の原因に対する洞察</t>
    <rPh sb="0" eb="2">
      <t>モンダイ</t>
    </rPh>
    <rPh sb="3" eb="5">
      <t>ゲンイン</t>
    </rPh>
    <rPh sb="6" eb="7">
      <t>タイ</t>
    </rPh>
    <rPh sb="9" eb="11">
      <t>ドウサツ</t>
    </rPh>
    <phoneticPr fontId="1"/>
  </si>
  <si>
    <t>insight into the cause of the problem</t>
    <phoneticPr fontId="1"/>
  </si>
  <si>
    <t>予防措置として</t>
    <rPh sb="0" eb="4">
      <t>ヨボウソチ</t>
    </rPh>
    <phoneticPr fontId="1"/>
  </si>
  <si>
    <t>as a precaution</t>
    <phoneticPr fontId="1"/>
  </si>
  <si>
    <t>新しい規則を施行する</t>
    <rPh sb="0" eb="1">
      <t>アタラセィ</t>
    </rPh>
    <rPh sb="6" eb="8">
      <t>シコウ</t>
    </rPh>
    <phoneticPr fontId="1"/>
  </si>
  <si>
    <t>enforce a new policy</t>
    <phoneticPr fontId="1"/>
  </si>
  <si>
    <t>医療の診断を受ける</t>
    <rPh sb="0" eb="2">
      <t>イリョウ</t>
    </rPh>
    <rPh sb="3" eb="5">
      <t>シンダn</t>
    </rPh>
    <rPh sb="6" eb="7">
      <t>ウケ</t>
    </rPh>
    <phoneticPr fontId="1"/>
  </si>
  <si>
    <t>receive a medical diagnosis</t>
    <phoneticPr fontId="1"/>
  </si>
  <si>
    <t>仮説を証明する</t>
    <rPh sb="0" eb="1">
      <t>ノスケジュール</t>
    </rPh>
    <rPh sb="3" eb="5">
      <t>ショウメイ</t>
    </rPh>
    <phoneticPr fontId="1"/>
  </si>
  <si>
    <t>prove a hypothesis</t>
    <phoneticPr fontId="1"/>
  </si>
  <si>
    <t>前任者と異なる</t>
    <rPh sb="0" eb="1">
      <t>ゼンニンセィア</t>
    </rPh>
    <rPh sb="4" eb="5">
      <t>コトナル</t>
    </rPh>
    <phoneticPr fontId="1"/>
  </si>
  <si>
    <t>different from the predecessor</t>
    <phoneticPr fontId="1"/>
  </si>
  <si>
    <t>新しい方法の採用</t>
    <rPh sb="0" eb="2">
      <t>アタラセィ</t>
    </rPh>
    <rPh sb="3" eb="5">
      <t>ホウ</t>
    </rPh>
    <rPh sb="6" eb="8">
      <t>サイヨウ</t>
    </rPh>
    <phoneticPr fontId="1"/>
  </si>
  <si>
    <t>adoption of a new method</t>
    <phoneticPr fontId="1"/>
  </si>
  <si>
    <t>成長を加速させる</t>
    <rPh sb="0" eb="1">
      <t>セイチョウ</t>
    </rPh>
    <rPh sb="3" eb="5">
      <t>カソク</t>
    </rPh>
    <phoneticPr fontId="1"/>
  </si>
  <si>
    <t>accelerate growth</t>
    <phoneticPr fontId="1"/>
  </si>
  <si>
    <t>手順に忠実に従う</t>
    <rPh sb="3" eb="5">
      <t>チュウジテゥ</t>
    </rPh>
    <rPh sb="6" eb="7">
      <t>シタガウ</t>
    </rPh>
    <phoneticPr fontId="1"/>
  </si>
  <si>
    <t>adhere to a procedure</t>
    <phoneticPr fontId="1"/>
  </si>
  <si>
    <t>家の査定</t>
    <rPh sb="0" eb="1">
      <t>イエノ</t>
    </rPh>
    <rPh sb="2" eb="4">
      <t>サテイ</t>
    </rPh>
    <phoneticPr fontId="1"/>
  </si>
  <si>
    <t>an appraisal of a house</t>
    <phoneticPr fontId="1"/>
  </si>
  <si>
    <t>時間に制約があるため</t>
    <rPh sb="0" eb="2">
      <t>ジカン</t>
    </rPh>
    <rPh sb="3" eb="5">
      <t>セイヤク</t>
    </rPh>
    <phoneticPr fontId="1"/>
  </si>
  <si>
    <t>due to time constraints</t>
    <phoneticPr fontId="1"/>
  </si>
  <si>
    <t>職場で注意の妨げになるものを最小限にする</t>
    <rPh sb="0" eb="2">
      <t>ショクバ</t>
    </rPh>
    <rPh sb="3" eb="5">
      <t>チュウイ</t>
    </rPh>
    <rPh sb="6" eb="7">
      <t>サマタ</t>
    </rPh>
    <rPh sb="14" eb="17">
      <t>サイショウゲン</t>
    </rPh>
    <phoneticPr fontId="1"/>
  </si>
  <si>
    <t>minimize distractions at work</t>
    <phoneticPr fontId="1"/>
  </si>
  <si>
    <t>議論を促進する</t>
    <rPh sb="0" eb="2">
      <t>ギロン</t>
    </rPh>
    <rPh sb="3" eb="5">
      <t>ソクシン</t>
    </rPh>
    <phoneticPr fontId="1"/>
  </si>
  <si>
    <t>facilitate a discussion</t>
    <phoneticPr fontId="1"/>
  </si>
  <si>
    <t>インターネットは我々の生活に不可欠だ</t>
    <rPh sb="8" eb="10">
      <t>ワレワレ</t>
    </rPh>
    <rPh sb="11" eb="13">
      <t>セイカツ</t>
    </rPh>
    <rPh sb="14" eb="17">
      <t>フカケツ</t>
    </rPh>
    <phoneticPr fontId="1"/>
  </si>
  <si>
    <t>The Internet is integral to our lives.</t>
    <phoneticPr fontId="1"/>
  </si>
  <si>
    <t>同僚と交流する</t>
    <rPh sb="0" eb="2">
      <t>ドウリョウ</t>
    </rPh>
    <rPh sb="3" eb="5">
      <t>コウリュウ</t>
    </rPh>
    <phoneticPr fontId="1"/>
  </si>
  <si>
    <t>interract with colleagues</t>
    <phoneticPr fontId="1"/>
  </si>
  <si>
    <t>私の粘り強さが実った。</t>
    <rPh sb="0" eb="1">
      <t>ワタシ</t>
    </rPh>
    <rPh sb="2" eb="3">
      <t>ネバ</t>
    </rPh>
    <rPh sb="4" eb="5">
      <t>ヅヨ</t>
    </rPh>
    <rPh sb="7" eb="8">
      <t>ミノ</t>
    </rPh>
    <phoneticPr fontId="1"/>
  </si>
  <si>
    <t>My persistence paid off.</t>
    <phoneticPr fontId="1"/>
  </si>
  <si>
    <t>売上ノルマ</t>
    <rPh sb="0" eb="2">
      <t>ウリアゲ</t>
    </rPh>
    <phoneticPr fontId="1"/>
  </si>
  <si>
    <t>a sales quota</t>
    <phoneticPr fontId="1"/>
  </si>
  <si>
    <t>駐車場は非常に渋滞していた</t>
    <rPh sb="0" eb="3">
      <t>チュウシャジョウ</t>
    </rPh>
    <rPh sb="4" eb="6">
      <t>ヒジョウ</t>
    </rPh>
    <rPh sb="7" eb="9">
      <t>ジュウタイ</t>
    </rPh>
    <phoneticPr fontId="1"/>
  </si>
  <si>
    <t>The parking lot was too congested.</t>
    <phoneticPr fontId="1"/>
  </si>
  <si>
    <t>ミスを見つける</t>
    <rPh sb="3" eb="4">
      <t>ミツケ</t>
    </rPh>
    <phoneticPr fontId="1"/>
  </si>
  <si>
    <t>detect an error</t>
    <phoneticPr fontId="1"/>
  </si>
  <si>
    <t>根気よく質問に答える</t>
    <rPh sb="0" eb="2">
      <t>コンキヨ</t>
    </rPh>
    <rPh sb="4" eb="6">
      <t>シツモn</t>
    </rPh>
    <phoneticPr fontId="1"/>
  </si>
  <si>
    <t>patiently answer questions</t>
    <phoneticPr fontId="1"/>
  </si>
  <si>
    <t>食事の制限</t>
    <rPh sb="0" eb="2">
      <t>ショクゼィ</t>
    </rPh>
    <phoneticPr fontId="1"/>
  </si>
  <si>
    <t>dietary restrictions</t>
    <phoneticPr fontId="1"/>
  </si>
  <si>
    <t>意図的に支払いを遅らせる</t>
    <rPh sb="0" eb="3">
      <t>イトテ</t>
    </rPh>
    <rPh sb="4" eb="6">
      <t>シハライ</t>
    </rPh>
    <phoneticPr fontId="1"/>
  </si>
  <si>
    <t>intentionally delay payments</t>
    <phoneticPr fontId="1"/>
  </si>
  <si>
    <t>説得力のあるスピーチを行う</t>
    <rPh sb="0" eb="3">
      <t>セットク</t>
    </rPh>
    <phoneticPr fontId="1"/>
  </si>
  <si>
    <t>give a persuasive speech</t>
    <phoneticPr fontId="1"/>
  </si>
  <si>
    <t>技術者見習い</t>
    <rPh sb="0" eb="3">
      <t>ギジュツシャ</t>
    </rPh>
    <rPh sb="3" eb="5">
      <t>ミナラ</t>
    </rPh>
    <phoneticPr fontId="1"/>
  </si>
  <si>
    <t>an apprentice technician</t>
  </si>
  <si>
    <t>市場での圧倒的なポジション</t>
    <rPh sb="0" eb="1">
      <t>シジョウ</t>
    </rPh>
    <rPh sb="4" eb="7">
      <t>アットウ</t>
    </rPh>
    <phoneticPr fontId="1"/>
  </si>
  <si>
    <t>a dominant position in the market</t>
    <phoneticPr fontId="1"/>
  </si>
  <si>
    <t>方法を考案する</t>
    <rPh sb="0" eb="2">
      <t>ホウ</t>
    </rPh>
    <rPh sb="3" eb="5">
      <t>コウアn</t>
    </rPh>
    <phoneticPr fontId="1"/>
  </si>
  <si>
    <t>devise a method</t>
    <phoneticPr fontId="1"/>
  </si>
  <si>
    <t>プロジェクトに十分な資金を割り当てる</t>
    <rPh sb="7" eb="9">
      <t>ジュウブn</t>
    </rPh>
    <rPh sb="10" eb="12">
      <t>シキn</t>
    </rPh>
    <rPh sb="13" eb="14">
      <t>ワリアテ</t>
    </rPh>
    <phoneticPr fontId="1"/>
  </si>
  <si>
    <t>allocate sufficient funds for a project</t>
    <phoneticPr fontId="1"/>
  </si>
  <si>
    <t>参加者のリストを取りまとめる</t>
    <rPh sb="0" eb="3">
      <t>サンカシャ</t>
    </rPh>
    <rPh sb="8" eb="9">
      <t>ト</t>
    </rPh>
    <phoneticPr fontId="1"/>
  </si>
  <si>
    <t>compile a list of participants</t>
    <phoneticPr fontId="1"/>
  </si>
  <si>
    <t>国際標準に合わせる</t>
    <rPh sb="0" eb="4">
      <t>コクサイヒョウジュン</t>
    </rPh>
    <rPh sb="5" eb="6">
      <t>ア</t>
    </rPh>
    <phoneticPr fontId="1"/>
  </si>
  <si>
    <t>conform to international standards</t>
    <phoneticPr fontId="1"/>
  </si>
  <si>
    <t>支払いから税金を控除する</t>
    <rPh sb="0" eb="1">
      <t>シハライ</t>
    </rPh>
    <rPh sb="5" eb="7">
      <t>ゼイ</t>
    </rPh>
    <rPh sb="8" eb="10">
      <t>コウジヨ</t>
    </rPh>
    <phoneticPr fontId="1"/>
  </si>
  <si>
    <t>deduct tax from payments</t>
    <phoneticPr fontId="1"/>
  </si>
  <si>
    <t>考えを積極的に受け入れる</t>
    <rPh sb="0" eb="1">
      <t>カンガエ</t>
    </rPh>
    <rPh sb="7" eb="8">
      <t>ウケ</t>
    </rPh>
    <phoneticPr fontId="1"/>
  </si>
  <si>
    <t>embrace an idea</t>
    <phoneticPr fontId="1"/>
  </si>
  <si>
    <t>合成素材</t>
    <rPh sb="0" eb="4">
      <t>ゴウセイ</t>
    </rPh>
    <phoneticPr fontId="1"/>
  </si>
  <si>
    <t>synthetic materials</t>
    <phoneticPr fontId="1"/>
  </si>
  <si>
    <t>契約を終了させる</t>
    <rPh sb="0" eb="1">
      <t>ケイヤク</t>
    </rPh>
    <phoneticPr fontId="1"/>
  </si>
  <si>
    <t>terminate a contract</t>
    <phoneticPr fontId="1"/>
  </si>
  <si>
    <t>1対5の男女比率</t>
    <rPh sb="1" eb="2">
      <t>タイ</t>
    </rPh>
    <rPh sb="4" eb="8">
      <t>ダンジョヒリテ</t>
    </rPh>
    <phoneticPr fontId="1"/>
  </si>
  <si>
    <t>a male-female ratio of 1:5</t>
    <phoneticPr fontId="1"/>
  </si>
  <si>
    <t xml:space="preserve">
</t>
    <phoneticPr fontId="1"/>
  </si>
  <si>
    <t>その仕事は比較的簡単です。</t>
  </si>
  <si>
    <t>The task is comparatively easy.</t>
  </si>
  <si>
    <t>雨が降らない限り、ピクニックは屋外で行います。</t>
  </si>
  <si>
    <t>The picnic will be held outside unless it rains.</t>
  </si>
  <si>
    <t>その少年は黙ったままだった。</t>
  </si>
  <si>
    <t>The boy remained silent.</t>
  </si>
  <si>
    <t>その企業の利益は間接的にパンデミックの影響を受けました。</t>
  </si>
  <si>
    <t>The company's profits were impacted indirectly by the pandemic.</t>
  </si>
  <si>
    <t>彼は非常に才能のあるミュージシャンです。</t>
  </si>
  <si>
    <t xml:space="preserve">He is an exceptionally talented musician. </t>
  </si>
  <si>
    <t>宿題が終わるまで勉強します。</t>
  </si>
  <si>
    <t>I will study until I finish my homework.</t>
  </si>
  <si>
    <t>私は仕事のシフトをカバーする代理人が必要です。</t>
  </si>
  <si>
    <t>I need a substitute to cover my shift at work.</t>
  </si>
  <si>
    <t>硬貨を自動販売機に挿入してください。</t>
  </si>
  <si>
    <t xml:space="preserve">Please insert the coin into the vending machine. </t>
  </si>
  <si>
    <t>彼女はすぐにそのメールに返事をした。</t>
  </si>
  <si>
    <t xml:space="preserve">She quickly responded to the email. </t>
  </si>
  <si>
    <t>彼はロシア語も話す.</t>
  </si>
  <si>
    <t>He speaks Russian as well</t>
  </si>
  <si>
    <t>帰りがけに声をかけてください。</t>
  </si>
  <si>
    <t>Let me know when you leave</t>
  </si>
  <si>
    <t>不良債務者をなくす</t>
  </si>
  <si>
    <t>clear bad debtors</t>
  </si>
  <si>
    <t>大学に進学するためには、高校を卒業しなければならない。</t>
  </si>
  <si>
    <t>In order to go to college, you must finish high school</t>
  </si>
  <si>
    <t>自分のビジネスをより良くする</t>
  </si>
  <si>
    <t>become better at one's business</t>
  </si>
  <si>
    <t>短い訓練期間</t>
  </si>
  <si>
    <t>short training period</t>
  </si>
  <si>
    <t>震える手をしっかり押さえる</t>
  </si>
  <si>
    <t>steady a shaky hand</t>
  </si>
  <si>
    <t>老人</t>
    <rPh sb="0" eb="2">
      <t>ロウジn</t>
    </rPh>
    <phoneticPr fontId="1"/>
  </si>
  <si>
    <t>mature adult</t>
  </si>
  <si>
    <t>定時［定刻どおりの・予定時刻どおりの］到着</t>
  </si>
  <si>
    <t>punctual arrival</t>
  </si>
  <si>
    <t>母親は少女が突然宗教に興味を持った原因を知りたがった。</t>
  </si>
  <si>
    <t>Her mother was curious about the girl's sudden interest in religion.</t>
    <phoneticPr fontId="1"/>
  </si>
  <si>
    <t>友人たちと離れるの(あとに残して去る)は寂しかったです。</t>
    <rPh sb="13" eb="14">
      <t>ノコ</t>
    </rPh>
    <rPh sb="16" eb="17">
      <t>サ</t>
    </rPh>
    <phoneticPr fontId="1"/>
  </si>
  <si>
    <t>I was sad to leave behind my friends.</t>
  </si>
  <si>
    <t>消費者の意識</t>
  </si>
  <si>
    <t>awareness by consumers</t>
  </si>
  <si>
    <t>さまざまな経験</t>
  </si>
  <si>
    <t>varied experience</t>
  </si>
  <si>
    <t>衣類の種類と量</t>
  </si>
  <si>
    <t>variety and quantity of clothes</t>
  </si>
  <si>
    <t>さまざまな利点</t>
  </si>
  <si>
    <t>various advantages</t>
  </si>
  <si>
    <t>母は彼を私の部屋につれてきた。(Oを~に連れていく)</t>
    <rPh sb="20" eb="21">
      <t>ツ</t>
    </rPh>
    <phoneticPr fontId="1"/>
  </si>
  <si>
    <t>My mother brought(bring過去) him to my room.</t>
    <rPh sb="23" eb="25">
      <t xml:space="preserve">カコ </t>
    </rPh>
    <phoneticPr fontId="1"/>
  </si>
  <si>
    <t>彼が私たちに加わるかどうか私は知らない。</t>
  </si>
  <si>
    <t>I don't know whether he'll join us or not.</t>
  </si>
  <si>
    <t>雪が降っているけれど私はいかねばならない。</t>
  </si>
  <si>
    <t>Although it is snowing, I must go.</t>
  </si>
  <si>
    <t>その店は駅の向かいにある.</t>
  </si>
  <si>
    <t>The store is across from the station</t>
  </si>
  <si>
    <t>～の入札を行う</t>
  </si>
  <si>
    <t>submit a bid for</t>
  </si>
  <si>
    <t>計画には差し迫った期限が迫っている</t>
  </si>
  <si>
    <t>An imminent deadline looms over the plan.</t>
    <phoneticPr fontId="1"/>
  </si>
  <si>
    <t>その見捨てられた村には過去の物語があった。</t>
  </si>
  <si>
    <t>The abandoned village had stories of its past life.</t>
  </si>
  <si>
    <t>トムはジャックよりも１０ポンド重い。</t>
  </si>
  <si>
    <t>Tom is ten pounds heavier than Jack.</t>
  </si>
  <si>
    <t>私は英語が流暢に話せるようになるために、英語をたくさん勉強します。</t>
  </si>
  <si>
    <t>I study English very hard so that I will be able to speak English fluently.</t>
  </si>
  <si>
    <t>彼は内気であるばかりでなく恥ずかしがりやだ。</t>
  </si>
  <si>
    <t>He is not only shy but also bashful.</t>
  </si>
  <si>
    <t>セール後、価格はかなり下がった。</t>
  </si>
  <si>
    <t>The price was considerably reduced after the sale.</t>
  </si>
  <si>
    <t>チームメンバーは攻撃と守備を交互に行います。</t>
  </si>
  <si>
    <t>The team members alternate playing offense and defense.</t>
  </si>
  <si>
    <t>彼の死亡の噂は誤報であり、彼はまだ存在している。</t>
  </si>
  <si>
    <t xml:space="preserve">The rumors of his death were false, as he is still existent. </t>
  </si>
  <si>
    <t>この投資は非常に収益性が高い。</t>
  </si>
  <si>
    <t xml:space="preserve">This investment has been very profitable. </t>
  </si>
  <si>
    <t>会議前にこれらの書類をざっと見る必要があります。</t>
  </si>
  <si>
    <t>I need to look through these documents before the meeting.</t>
  </si>
  <si>
    <t>人生の中で新しい状況に適応することは重要です。</t>
  </si>
  <si>
    <t>It is important to adapt to new situations in life.</t>
  </si>
  <si>
    <t> このホテルは超一流のサービスを誇っている。</t>
  </si>
  <si>
    <t>This hotel prides itself on superb service.</t>
  </si>
  <si>
    <t>私たちは全ての修理や設置を自分たちですることができます。(oneselfの複数形)</t>
    <rPh sb="37" eb="40">
      <t>フクスウ</t>
    </rPh>
    <phoneticPr fontId="1"/>
  </si>
  <si>
    <t xml:space="preserve">We did all the repairs and installations ourselves. </t>
  </si>
  <si>
    <t>私は決定する前にさらに情報を集める必要がある。</t>
  </si>
  <si>
    <t xml:space="preserve">I need to gather further information before making a decision. </t>
  </si>
  <si>
    <t>躊躇したら、チャンスを逃すよ。</t>
  </si>
  <si>
    <t>Once you hesitate, you'll miss your chance.</t>
  </si>
  <si>
    <t>外出するよりも家にいたい。</t>
  </si>
  <si>
    <t>I would rather stay at home than go out.</t>
  </si>
  <si>
    <t>先生はその単語の意味を説明した.</t>
  </si>
  <si>
    <t>The teacher explained the meaning of the word.</t>
  </si>
  <si>
    <t>容貌の美しい男, 美男子.[複数形で] 容貌(ようぼう), 顔だち，目鼻だち.</t>
    <phoneticPr fontId="1"/>
  </si>
  <si>
    <r>
      <t xml:space="preserve">a man of fine </t>
    </r>
    <r>
      <rPr>
        <b/>
        <sz val="9"/>
        <color rgb="FFFF0000"/>
        <rFont val="Yu Gothic UI"/>
        <family val="3"/>
        <charset val="128"/>
      </rPr>
      <t xml:space="preserve">features </t>
    </r>
    <phoneticPr fontId="1"/>
  </si>
  <si>
    <t>カーブはＡ地点からＢ地点にまでわたっている。</t>
  </si>
  <si>
    <t>The curve extends from point A to point B.</t>
  </si>
  <si>
    <t>冷蔵庫に補充する</t>
  </si>
  <si>
    <t>replenish the refrigerator</t>
  </si>
  <si>
    <t>ジョンは川に沿って散歩した。</t>
  </si>
  <si>
    <t>John took a walk along the river.</t>
  </si>
  <si>
    <t>彼の映画は、よく強い女性キャラクターを取り上げる。</t>
  </si>
  <si>
    <t>His movies often feature strong female characters.</t>
  </si>
  <si>
    <t>私は故郷の小学校に通いました。</t>
  </si>
  <si>
    <t xml:space="preserve">I attended primary school in my hometown. </t>
  </si>
  <si>
    <t>ホストは玄関で私たちを出迎え、席に案内しました。</t>
  </si>
  <si>
    <t xml:space="preserve">The host greeted us at the door and showed us to our seats. </t>
  </si>
  <si>
    <t>秘密がばれた。市場で猫を袋に入れて豚と偽って売る詐欺から生まれた表現</t>
    <phoneticPr fontId="1"/>
  </si>
  <si>
    <t xml:space="preserve">The cat is out of the bag. </t>
  </si>
  <si>
    <t>これは今まで見た映画の中で断然最高だ。</t>
  </si>
  <si>
    <t>This is by far the best movie I have ever seen.</t>
  </si>
  <si>
    <t>私はお茶よりもコーヒーのほうが好きです。</t>
  </si>
  <si>
    <t>I prefer coffee rather than tea.</t>
  </si>
  <si>
    <t>その旅は1時間もかからなかった。</t>
  </si>
  <si>
    <t>The journey took less than an hour.</t>
  </si>
  <si>
    <t>雨が降っていたけれども、私たちはハイキングに行った。</t>
  </si>
  <si>
    <t>Although it was raining, we still went hiking.</t>
  </si>
  <si>
    <t>私たちの家には、古い家具を保管する地下室があります</t>
  </si>
  <si>
    <t>Our house has a basement where we store old furniture.</t>
  </si>
  <si>
    <t>彼女は子供時代の思い出を微笑みながら語った。</t>
  </si>
  <si>
    <t>She recounted her childhood memories with a smile.</t>
  </si>
  <si>
    <t>彼は売り手と値段交渉をした。</t>
  </si>
  <si>
    <t>He bargained with the seller for a lower price.</t>
  </si>
  <si>
    <t>彼は私の肩に手を置いた。</t>
  </si>
  <si>
    <t>He placed his hand upon my shoulder.</t>
  </si>
  <si>
    <t>かんじ</t>
    <phoneticPr fontId="1"/>
  </si>
  <si>
    <t>漢字</t>
    <rPh sb="0" eb="2">
      <t xml:space="preserve">カンジ </t>
    </rPh>
    <phoneticPr fontId="1"/>
  </si>
  <si>
    <t>えいご</t>
    <phoneticPr fontId="1"/>
  </si>
  <si>
    <t>英語</t>
    <rPh sb="0" eb="2">
      <t>エイゴ</t>
    </rPh>
    <phoneticPr fontId="1"/>
  </si>
  <si>
    <t>すうじ</t>
    <phoneticPr fontId="1"/>
  </si>
  <si>
    <t>数字</t>
    <rPh sb="0" eb="2">
      <t>スウ</t>
    </rPh>
    <phoneticPr fontId="1"/>
  </si>
  <si>
    <t>accommodate a request</t>
    <phoneticPr fontId="1"/>
  </si>
  <si>
    <t>要望に応える</t>
    <rPh sb="0" eb="2">
      <t>ヨウボウ</t>
    </rPh>
    <phoneticPr fontId="1"/>
  </si>
  <si>
    <t>The hotel can accommodate 300 guests.</t>
    <phoneticPr fontId="1"/>
  </si>
  <si>
    <t>そのホテルは300人を収容できる</t>
    <phoneticPr fontId="1"/>
  </si>
  <si>
    <t>open a bank account</t>
    <phoneticPr fontId="1"/>
  </si>
  <si>
    <t>account for 50% of sales</t>
    <phoneticPr fontId="1"/>
  </si>
  <si>
    <t>銀行口座を開く</t>
    <rPh sb="0" eb="1">
      <t>ギn</t>
    </rPh>
    <rPh sb="2" eb="4">
      <t>コウザ</t>
    </rPh>
    <rPh sb="5" eb="6">
      <t>ヒラク</t>
    </rPh>
    <phoneticPr fontId="1"/>
  </si>
  <si>
    <t>売上の50％を占める</t>
    <rPh sb="0" eb="1">
      <t>ウリアゲ</t>
    </rPh>
    <rPh sb="7" eb="8">
      <t>シメ</t>
    </rPh>
    <phoneticPr fontId="1"/>
  </si>
  <si>
    <t>address a problem</t>
    <phoneticPr fontId="1"/>
  </si>
  <si>
    <t>問題に対処する</t>
    <rPh sb="0" eb="1">
      <t>モンダイ</t>
    </rPh>
    <rPh sb="3" eb="5">
      <t>タイセィオ</t>
    </rPh>
    <phoneticPr fontId="1"/>
  </si>
  <si>
    <t>address the audience</t>
    <phoneticPr fontId="1"/>
  </si>
  <si>
    <t>address questions to Tex</t>
    <phoneticPr fontId="1"/>
  </si>
  <si>
    <t>an opening address</t>
    <phoneticPr fontId="1"/>
  </si>
  <si>
    <t>a self-addressed envelope</t>
    <phoneticPr fontId="1"/>
  </si>
  <si>
    <t>聴衆に話しかける</t>
    <rPh sb="0" eb="2">
      <t>チョウセィウ</t>
    </rPh>
    <rPh sb="3" eb="4">
      <t>ハナシカケ</t>
    </rPh>
    <phoneticPr fontId="1"/>
  </si>
  <si>
    <t>テックスに質問を向ける</t>
    <rPh sb="5" eb="7">
      <t>シツモn</t>
    </rPh>
    <rPh sb="8" eb="9">
      <t>ムケ</t>
    </rPh>
    <phoneticPr fontId="1"/>
  </si>
  <si>
    <t>開会の演説</t>
    <rPh sb="0" eb="2">
      <t>カイカ</t>
    </rPh>
    <phoneticPr fontId="1"/>
  </si>
  <si>
    <t>返信用封筒(自分の宛名が書かれた封筒)</t>
    <rPh sb="0" eb="3">
      <t>ヘンシn</t>
    </rPh>
    <rPh sb="3" eb="5">
      <t>フウトウ</t>
    </rPh>
    <rPh sb="6" eb="8">
      <t>ジブn</t>
    </rPh>
    <rPh sb="12" eb="13">
      <t>カカレ</t>
    </rPh>
    <rPh sb="16" eb="18">
      <t>フウトウ</t>
    </rPh>
    <phoneticPr fontId="1"/>
  </si>
  <si>
    <t>Steve's last public appearance</t>
    <phoneticPr fontId="1"/>
  </si>
  <si>
    <t>スティーブの最後の公式の場への登場</t>
    <rPh sb="6" eb="8">
      <t>サイゴ</t>
    </rPh>
    <rPh sb="9" eb="11">
      <t>コウセィ</t>
    </rPh>
    <rPh sb="12" eb="13">
      <t xml:space="preserve">バ </t>
    </rPh>
    <rPh sb="15" eb="17">
      <t>トウジョウ</t>
    </rPh>
    <phoneticPr fontId="1"/>
  </si>
  <si>
    <t>a unique appearance</t>
    <phoneticPr fontId="1"/>
  </si>
  <si>
    <t>ユニークな外見</t>
    <rPh sb="5" eb="7">
      <t>ガイケn</t>
    </rPh>
    <phoneticPr fontId="1"/>
  </si>
  <si>
    <t>an appearance in a film</t>
    <phoneticPr fontId="1"/>
  </si>
  <si>
    <t>映画への出演</t>
    <rPh sb="0" eb="1">
      <t>エイガ</t>
    </rPh>
    <rPh sb="4" eb="6">
      <t>シュテゥ</t>
    </rPh>
    <phoneticPr fontId="1"/>
  </si>
  <si>
    <t>apply for the position</t>
    <phoneticPr fontId="1"/>
  </si>
  <si>
    <t>その職に応募する</t>
    <rPh sb="4" eb="6">
      <t>オウボ</t>
    </rPh>
    <phoneticPr fontId="1"/>
  </si>
  <si>
    <t>apply for cream to the skin</t>
    <phoneticPr fontId="1"/>
  </si>
  <si>
    <t>クリームを肌に塗る</t>
    <rPh sb="5" eb="6">
      <t>ハダ</t>
    </rPh>
    <rPh sb="7" eb="8">
      <t>ヌル</t>
    </rPh>
    <phoneticPr fontId="1"/>
  </si>
  <si>
    <t>The rule applies to all employees.</t>
    <phoneticPr fontId="1"/>
  </si>
  <si>
    <t>その規則は全従業員に適応される。</t>
    <rPh sb="2" eb="3">
      <t>キソク</t>
    </rPh>
    <rPh sb="5" eb="6">
      <t>ゼンジュウギョウ</t>
    </rPh>
    <rPh sb="10" eb="12">
      <t>テキオウ</t>
    </rPh>
    <phoneticPr fontId="1"/>
  </si>
  <si>
    <t>a doctor's appointment</t>
    <phoneticPr fontId="1"/>
  </si>
  <si>
    <t>医者の予約</t>
    <rPh sb="0" eb="1">
      <t>イセィア</t>
    </rPh>
    <rPh sb="3" eb="5">
      <t>ヨヤク</t>
    </rPh>
    <phoneticPr fontId="1"/>
  </si>
  <si>
    <t>the appointment of a new CEO</t>
    <phoneticPr fontId="1"/>
  </si>
  <si>
    <t>新しいCEOの指名</t>
    <rPh sb="0" eb="1">
      <t>アタラセィ</t>
    </rPh>
    <rPh sb="7" eb="9">
      <t>シメイ</t>
    </rPh>
    <phoneticPr fontId="1"/>
  </si>
  <si>
    <t>a magazine article</t>
    <phoneticPr fontId="1"/>
  </si>
  <si>
    <t>雑誌の記事</t>
    <rPh sb="0" eb="1">
      <t>ザッセィ</t>
    </rPh>
    <rPh sb="3" eb="5">
      <t>キゼィ</t>
    </rPh>
    <phoneticPr fontId="1"/>
  </si>
  <si>
    <t>household article</t>
    <phoneticPr fontId="1"/>
  </si>
  <si>
    <t>家庭用品</t>
    <rPh sb="0" eb="4">
      <t>カテイ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</si>
</sst>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font>
      <sz val="12"/>
      <color theme="1"/>
      <name val="MS-PGothic"/>
      <family val="2"/>
      <charset val="128"/>
    </font>
    <font>
      <sz val="6"/>
      <name val="MS-PGothic"/>
      <family val="2"/>
      <charset val="128"/>
    </font>
    <font>
      <sz val="9"/>
      <color theme="0"/>
      <name val="MS-PGothic"/>
      <charset val="128"/>
    </font>
    <font>
      <b/>
      <sz val="9"/>
      <color theme="8"/>
      <name val="MS-PGothic"/>
      <charset val="128"/>
    </font>
    <font>
      <sz val="9"/>
      <color rgb="FF657EC3"/>
      <name val="MS-PGothic"/>
      <charset val="128"/>
    </font>
    <font>
      <sz val="9"/>
      <color theme="0"/>
      <name val="MS-PGothic"/>
      <family val="2"/>
      <charset val="128"/>
    </font>
    <font>
      <sz val="9"/>
      <color rgb="FF657EC3"/>
      <name val="MS-PGothic"/>
      <family val="2"/>
      <charset val="128"/>
    </font>
    <font>
      <b/>
      <sz val="9"/>
      <color theme="8"/>
      <name val="MS-PGothic"/>
      <family val="2"/>
      <charset val="128"/>
    </font>
    <font>
      <b/>
      <sz val="9"/>
      <color theme="0"/>
      <name val="MS-PGothic"/>
      <charset val="128"/>
    </font>
    <font>
      <b/>
      <sz val="9"/>
      <color theme="0"/>
      <name val="MS-PGothic"/>
      <family val="2"/>
      <charset val="128"/>
    </font>
    <font>
      <b/>
      <sz val="9"/>
      <color rgb="FF657EC3"/>
      <name val="MS-PGothic"/>
      <charset val="128"/>
    </font>
    <font>
      <b/>
      <sz val="9"/>
      <color theme="0"/>
      <name val="Yu Gothic UI"/>
      <family val="3"/>
      <charset val="128"/>
    </font>
    <font>
      <b/>
      <sz val="14"/>
      <color theme="0"/>
      <name val="ＭＳ 明朝"/>
      <family val="1"/>
      <charset val="128"/>
    </font>
    <font>
      <b/>
      <sz val="14"/>
      <color theme="8"/>
      <name val="ＭＳ 明朝"/>
      <family val="1"/>
      <charset val="128"/>
    </font>
    <font>
      <b/>
      <sz val="14"/>
      <color rgb="FF657EC3"/>
      <name val="ＭＳ 明朝"/>
      <family val="1"/>
      <charset val="128"/>
    </font>
    <font>
      <b/>
      <sz val="9"/>
      <color rgb="FF657EC3"/>
      <name val="MS-PGothic"/>
      <family val="2"/>
      <charset val="128"/>
    </font>
    <font>
      <b/>
      <sz val="9"/>
      <color rgb="FFFF0000"/>
      <name val="Yu Gothic UI"/>
      <family val="3"/>
      <charset val="128"/>
    </font>
    <font>
      <sz val="8"/>
      <color theme="0"/>
      <name val="MS-PGothic"/>
      <charset val="128"/>
    </font>
    <font>
      <b/>
      <sz val="8"/>
      <color theme="8"/>
      <name val="MS-PGothic"/>
      <charset val="128"/>
    </font>
    <font>
      <sz val="8"/>
      <color theme="0"/>
      <name val="MS-PGothic"/>
      <family val="2"/>
      <charset val="128"/>
    </font>
    <font>
      <sz val="12"/>
      <color rgb="FF000000"/>
      <name val="游ゴシック"/>
      <family val="3"/>
      <charset val="128"/>
    </font>
    <font>
      <sz val="12"/>
      <color rgb="FF000000"/>
      <name val="Calibri"/>
      <family val="2"/>
    </font>
  </fonts>
  <fills count="6">
    <fill>
      <patternFill patternType="none"/>
    </fill>
    <fill>
      <patternFill patternType="gray125"/>
    </fill>
    <fill>
      <patternFill patternType="solid">
        <fgColor rgb="FF232B42"/>
        <bgColor indexed="64"/>
      </patternFill>
    </fill>
    <fill>
      <patternFill patternType="solid">
        <fgColor rgb="FF657EC3"/>
        <bgColor indexed="64"/>
      </patternFill>
    </fill>
    <fill>
      <patternFill patternType="solid">
        <fgColor rgb="FF29334F"/>
        <bgColor indexed="64"/>
      </patternFill>
    </fill>
    <fill>
      <patternFill patternType="solid">
        <fgColor rgb="FF002060"/>
        <bgColor indexed="64"/>
      </patternFill>
    </fill>
  </fills>
  <borders count="1">
    <border>
      <left/>
      <right/>
      <top/>
      <bottom/>
      <diagonal/>
    </border>
  </borders>
  <cellStyleXfs count="1">
    <xf numFmtId="0" fontId="0" fillId="0" borderId="0">
      <alignment vertical="center"/>
    </xf>
  </cellStyleXfs>
  <cellXfs count="48">
    <xf numFmtId="0" fontId="0" fillId="0" borderId="0" xfId="0">
      <alignment vertical="center"/>
    </xf>
    <xf numFmtId="0" fontId="2" fillId="2" borderId="0" xfId="0" applyFont="1" applyFill="1">
      <alignment vertical="center"/>
    </xf>
    <xf numFmtId="0" fontId="2" fillId="4" borderId="0" xfId="0" applyFont="1" applyFill="1" applyAlignment="1">
      <alignment vertical="center" wrapText="1"/>
    </xf>
    <xf numFmtId="0" fontId="2" fillId="4" borderId="0" xfId="0" applyFont="1" applyFill="1" applyAlignment="1">
      <alignment horizontal="right" vertical="center" wrapText="1"/>
    </xf>
    <xf numFmtId="0" fontId="3" fillId="5" borderId="0" xfId="0" applyFont="1" applyFill="1">
      <alignment vertical="center"/>
    </xf>
    <xf numFmtId="0" fontId="2" fillId="0" borderId="0" xfId="0" applyFont="1">
      <alignment vertical="center"/>
    </xf>
    <xf numFmtId="0" fontId="4" fillId="3" borderId="0" xfId="0" applyFont="1" applyFill="1">
      <alignment vertical="center"/>
    </xf>
    <xf numFmtId="0" fontId="2" fillId="2" borderId="0" xfId="0" applyFont="1" applyFill="1" applyAlignment="1">
      <alignment horizontal="center" vertical="center"/>
    </xf>
    <xf numFmtId="14" fontId="2" fillId="2" borderId="0" xfId="0" applyNumberFormat="1" applyFont="1" applyFill="1" applyAlignment="1">
      <alignment horizontal="center" vertical="center"/>
    </xf>
    <xf numFmtId="0" fontId="2" fillId="5" borderId="0" xfId="0" applyFont="1" applyFill="1">
      <alignment vertical="center"/>
    </xf>
    <xf numFmtId="0" fontId="5" fillId="5" borderId="0" xfId="0" applyFont="1" applyFill="1">
      <alignment vertical="center"/>
    </xf>
    <xf numFmtId="14" fontId="2" fillId="2" borderId="0" xfId="0" applyNumberFormat="1" applyFont="1" applyFill="1">
      <alignment vertical="center"/>
    </xf>
    <xf numFmtId="0" fontId="5" fillId="0" borderId="0" xfId="0" applyFont="1">
      <alignment vertical="center"/>
    </xf>
    <xf numFmtId="0" fontId="5" fillId="2" borderId="0" xfId="0" applyFont="1" applyFill="1">
      <alignment vertical="center"/>
    </xf>
    <xf numFmtId="0" fontId="6" fillId="3" borderId="0" xfId="0" applyFont="1" applyFill="1">
      <alignment vertical="center"/>
    </xf>
    <xf numFmtId="0" fontId="7" fillId="5" borderId="0" xfId="0" applyFont="1" applyFill="1">
      <alignment vertical="center"/>
    </xf>
    <xf numFmtId="0" fontId="8" fillId="2" borderId="0" xfId="0" applyFont="1" applyFill="1">
      <alignment vertical="center"/>
    </xf>
    <xf numFmtId="0" fontId="8" fillId="4" borderId="0" xfId="0" applyFont="1" applyFill="1" applyAlignment="1">
      <alignment vertical="center" wrapText="1"/>
    </xf>
    <xf numFmtId="0" fontId="8" fillId="4" borderId="0" xfId="0" applyFont="1" applyFill="1" applyAlignment="1">
      <alignment horizontal="right" vertical="center" wrapText="1"/>
    </xf>
    <xf numFmtId="0" fontId="8" fillId="2" borderId="0" xfId="0" applyFont="1" applyFill="1" applyAlignment="1">
      <alignment horizontal="center" vertical="center"/>
    </xf>
    <xf numFmtId="14" fontId="8" fillId="2" borderId="0" xfId="0" applyNumberFormat="1" applyFont="1" applyFill="1" applyAlignment="1">
      <alignment horizontal="center" vertical="center"/>
    </xf>
    <xf numFmtId="0" fontId="8" fillId="2" borderId="0" xfId="0" applyFont="1" applyFill="1" applyAlignment="1">
      <alignment vertical="center" wrapText="1"/>
    </xf>
    <xf numFmtId="0" fontId="8" fillId="5" borderId="0" xfId="0" applyFont="1" applyFill="1">
      <alignment vertical="center"/>
    </xf>
    <xf numFmtId="0" fontId="9" fillId="5" borderId="0" xfId="0" applyFont="1" applyFill="1">
      <alignment vertical="center"/>
    </xf>
    <xf numFmtId="0" fontId="8" fillId="0" borderId="0" xfId="0" applyFont="1">
      <alignment vertical="center"/>
    </xf>
    <xf numFmtId="0" fontId="9" fillId="0" borderId="0" xfId="0" applyFont="1">
      <alignment vertical="center"/>
    </xf>
    <xf numFmtId="0" fontId="10" fillId="3" borderId="0" xfId="0" applyFont="1" applyFill="1">
      <alignment vertical="center"/>
    </xf>
    <xf numFmtId="0" fontId="11" fillId="0" borderId="0" xfId="0" applyFont="1">
      <alignment vertical="center"/>
    </xf>
    <xf numFmtId="14" fontId="8" fillId="2" borderId="0" xfId="0" applyNumberFormat="1" applyFont="1" applyFill="1">
      <alignment vertical="center"/>
    </xf>
    <xf numFmtId="0" fontId="9" fillId="2" borderId="0" xfId="0" applyFont="1" applyFill="1">
      <alignment vertical="center"/>
    </xf>
    <xf numFmtId="0" fontId="11" fillId="2" borderId="0" xfId="0" applyFont="1" applyFill="1">
      <alignment vertical="center"/>
    </xf>
    <xf numFmtId="0" fontId="12" fillId="2" borderId="0" xfId="0" applyFont="1" applyFill="1">
      <alignment vertical="center"/>
    </xf>
    <xf numFmtId="0" fontId="12" fillId="2" borderId="0" xfId="0" applyFont="1" applyFill="1" applyAlignment="1">
      <alignment horizontal="center" vertical="center"/>
    </xf>
    <xf numFmtId="0" fontId="13" fillId="5" borderId="0" xfId="0" applyFont="1" applyFill="1">
      <alignment vertical="center"/>
    </xf>
    <xf numFmtId="0" fontId="14" fillId="3" borderId="0" xfId="0" applyFont="1" applyFill="1" applyAlignment="1">
      <alignment horizontal="center" vertical="center"/>
    </xf>
    <xf numFmtId="0" fontId="12" fillId="0" borderId="0" xfId="0" applyFont="1">
      <alignment vertical="center"/>
    </xf>
    <xf numFmtId="0" fontId="12" fillId="4" borderId="0" xfId="0" applyFont="1" applyFill="1" applyAlignment="1">
      <alignment vertical="center" wrapText="1"/>
    </xf>
    <xf numFmtId="0" fontId="12" fillId="4" borderId="0" xfId="0" applyFont="1" applyFill="1" applyAlignment="1">
      <alignment horizontal="right" vertical="center" wrapText="1"/>
    </xf>
    <xf numFmtId="14" fontId="12" fillId="2" borderId="0" xfId="0" applyNumberFormat="1" applyFont="1" applyFill="1" applyAlignment="1">
      <alignment horizontal="center" vertical="center"/>
    </xf>
    <xf numFmtId="0" fontId="12" fillId="5" borderId="0" xfId="0" applyFont="1" applyFill="1">
      <alignment vertical="center"/>
    </xf>
    <xf numFmtId="14" fontId="12" fillId="2" borderId="0" xfId="0" applyNumberFormat="1" applyFont="1" applyFill="1">
      <alignment vertical="center"/>
    </xf>
    <xf numFmtId="0" fontId="15" fillId="3" borderId="0" xfId="0" applyFont="1" applyFill="1">
      <alignment vertical="center"/>
    </xf>
    <xf numFmtId="0" fontId="17" fillId="2" borderId="0" xfId="0" applyFont="1" applyFill="1" applyAlignment="1">
      <alignment vertical="center" wrapText="1"/>
    </xf>
    <xf numFmtId="0" fontId="19" fillId="2" borderId="0" xfId="0" applyFont="1" applyFill="1" applyAlignment="1">
      <alignment vertical="center" wrapText="1"/>
    </xf>
    <xf numFmtId="14" fontId="17" fillId="2" borderId="0" xfId="0" applyNumberFormat="1" applyFont="1" applyFill="1" applyAlignment="1">
      <alignment horizontal="center" vertical="center" wrapText="1"/>
    </xf>
    <xf numFmtId="0" fontId="18" fillId="5" borderId="0" xfId="0" applyFont="1" applyFill="1" applyAlignment="1">
      <alignment vertical="center" wrapText="1"/>
    </xf>
    <xf numFmtId="0" fontId="17" fillId="0" borderId="0" xfId="0" applyFont="1" applyAlignment="1">
      <alignment vertical="center" wrapText="1"/>
    </xf>
    <xf numFmtId="0" fontId="2" fillId="2" borderId="0" xfId="0" applyNumberFormat="1" applyFont="1" applyFill="1">
      <alignment vertical="center"/>
    </xf>
  </cellXfs>
  <cellStyles count="1">
    <cellStyle name="標準" xfId="0" builtinId="0"/>
  </cellStyles>
  <dxfs count="63">
    <dxf>
      <font>
        <strike val="0"/>
        <outline val="0"/>
        <shadow val="0"/>
        <u val="none"/>
        <vertAlign val="baseline"/>
        <sz val="9"/>
        <color theme="0"/>
        <name val="MS-PGothic"/>
        <charset val="128"/>
        <scheme val="none"/>
      </font>
      <fill>
        <patternFill patternType="solid">
          <fgColor indexed="64"/>
          <bgColor rgb="FF232B42"/>
        </patternFill>
      </fill>
    </dxf>
    <dxf>
      <font>
        <strike val="0"/>
        <outline val="0"/>
        <shadow val="0"/>
        <u val="none"/>
        <vertAlign val="baseline"/>
        <sz val="9"/>
        <name val="MS-PGothic"/>
        <charset val="128"/>
        <scheme val="none"/>
      </font>
      <numFmt numFmtId="0" formatCode="General"/>
    </dxf>
    <dxf>
      <font>
        <strike val="0"/>
        <outline val="0"/>
        <shadow val="0"/>
        <u val="none"/>
        <vertAlign val="baseline"/>
        <sz val="9"/>
        <name val="MS-PGothic"/>
        <charset val="128"/>
        <scheme val="none"/>
      </font>
    </dxf>
    <dxf>
      <font>
        <strike val="0"/>
        <outline val="0"/>
        <shadow val="0"/>
        <u val="none"/>
        <vertAlign val="baseline"/>
        <sz val="9"/>
        <color theme="0"/>
        <name val="MS-PGothic"/>
        <charset val="128"/>
        <scheme val="none"/>
      </font>
    </dxf>
    <dxf>
      <font>
        <strike val="0"/>
        <outline val="0"/>
        <shadow val="0"/>
        <u val="none"/>
        <vertAlign val="baseline"/>
        <sz val="9"/>
        <name val="MS-PGothic"/>
        <charset val="128"/>
        <scheme val="none"/>
      </font>
    </dxf>
    <dxf>
      <font>
        <strike val="0"/>
        <outline val="0"/>
        <shadow val="0"/>
        <u val="none"/>
        <vertAlign val="baseline"/>
        <sz val="9"/>
        <color rgb="FF657EC3"/>
        <name val="MS-PGothic"/>
        <charset val="128"/>
        <scheme val="none"/>
      </font>
      <fill>
        <patternFill patternType="solid">
          <fgColor indexed="64"/>
          <bgColor rgb="FF657EC3"/>
        </patternFill>
      </fill>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fill>
        <patternFill patternType="solid">
          <fgColor indexed="64"/>
          <bgColor rgb="FF002060"/>
        </patternFill>
      </fill>
    </dxf>
    <dxf>
      <fill>
        <patternFill>
          <fgColor rgb="FFD8D8D8"/>
          <bgColor rgb="FF232B42"/>
        </patternFill>
      </fill>
    </dxf>
    <dxf>
      <fill>
        <patternFill>
          <bgColor rgb="FF29334F"/>
        </patternFill>
      </fill>
    </dxf>
    <dxf>
      <font>
        <color rgb="FF657EC3"/>
      </font>
      <fill>
        <patternFill>
          <bgColor rgb="FF232B42"/>
        </patternFill>
      </fill>
    </dxf>
    <dxf>
      <font>
        <color rgb="FF657EC3"/>
      </font>
      <fill>
        <patternFill>
          <bgColor rgb="FF29334F"/>
        </patternFill>
      </fill>
    </dxf>
    <dxf>
      <font>
        <b/>
        <strike val="0"/>
        <outline val="0"/>
        <shadow val="0"/>
        <u val="none"/>
        <vertAlign val="baseline"/>
        <sz val="9"/>
        <color theme="0"/>
        <name val="MS-PGothic"/>
        <charset val="128"/>
        <scheme val="none"/>
      </font>
      <fill>
        <patternFill patternType="solid">
          <fgColor indexed="64"/>
          <bgColor rgb="FF232B42"/>
        </patternFill>
      </fill>
    </dxf>
    <dxf>
      <font>
        <b/>
        <strike val="0"/>
        <outline val="0"/>
        <shadow val="0"/>
        <u val="none"/>
        <vertAlign val="baseline"/>
        <sz val="9"/>
        <name val="MS-PGothic"/>
        <charset val="128"/>
        <scheme val="none"/>
      </font>
      <numFmt numFmtId="0" formatCode="General"/>
    </dxf>
    <dxf>
      <font>
        <b/>
        <strike val="0"/>
        <outline val="0"/>
        <shadow val="0"/>
        <u val="none"/>
        <vertAlign val="baseline"/>
        <sz val="9"/>
        <name val="MS-PGothic"/>
        <charset val="128"/>
        <scheme val="none"/>
      </font>
    </dxf>
    <dxf>
      <font>
        <b/>
        <strike val="0"/>
        <outline val="0"/>
        <shadow val="0"/>
        <u val="none"/>
        <vertAlign val="baseline"/>
        <sz val="9"/>
        <color theme="0"/>
        <name val="MS-PGothic"/>
        <charset val="128"/>
        <scheme val="none"/>
      </font>
    </dxf>
    <dxf>
      <font>
        <b/>
        <strike val="0"/>
        <outline val="0"/>
        <shadow val="0"/>
        <u val="none"/>
        <vertAlign val="baseline"/>
        <sz val="9"/>
        <color theme="0"/>
        <name val="Yu Gothic UI"/>
        <family val="3"/>
        <charset val="128"/>
        <scheme val="none"/>
      </font>
    </dxf>
    <dxf>
      <font>
        <b/>
        <strike val="0"/>
        <outline val="0"/>
        <shadow val="0"/>
        <u val="none"/>
        <vertAlign val="baseline"/>
        <sz val="9"/>
        <color rgb="FF657EC3"/>
        <name val="MS-PGothic"/>
        <charset val="128"/>
        <scheme val="none"/>
      </font>
      <fill>
        <patternFill patternType="solid">
          <fgColor indexed="64"/>
          <bgColor rgb="FF657EC3"/>
        </patternFill>
      </fill>
    </dxf>
    <dxf>
      <font>
        <b/>
        <strike val="0"/>
        <outline val="0"/>
        <shadow val="0"/>
        <u val="none"/>
        <vertAlign val="baseline"/>
        <sz val="9"/>
        <name val="MS-PGothic"/>
        <charset val="128"/>
        <scheme val="none"/>
      </font>
    </dxf>
    <dxf>
      <font>
        <b/>
        <strike val="0"/>
        <outline val="0"/>
        <shadow val="0"/>
        <u val="none"/>
        <vertAlign val="baseline"/>
        <sz val="9"/>
        <name val="MS-PGothic"/>
        <charset val="128"/>
        <scheme val="none"/>
      </font>
    </dxf>
    <dxf>
      <font>
        <b/>
        <strike val="0"/>
        <outline val="0"/>
        <shadow val="0"/>
        <u val="none"/>
        <vertAlign val="baseline"/>
        <sz val="9"/>
        <name val="MS-PGothic"/>
        <charset val="128"/>
        <scheme val="none"/>
      </font>
    </dxf>
    <dxf>
      <font>
        <b/>
        <strike val="0"/>
        <outline val="0"/>
        <shadow val="0"/>
        <u val="none"/>
        <vertAlign val="baseline"/>
        <sz val="9"/>
        <name val="MS-PGothic"/>
        <charset val="128"/>
        <scheme val="none"/>
      </font>
    </dxf>
    <dxf>
      <font>
        <b/>
        <strike val="0"/>
        <outline val="0"/>
        <shadow val="0"/>
        <u val="none"/>
        <vertAlign val="baseline"/>
        <sz val="9"/>
        <name val="MS-PGothic"/>
        <charset val="128"/>
        <scheme val="none"/>
      </font>
      <fill>
        <patternFill patternType="solid">
          <fgColor indexed="64"/>
          <bgColor rgb="FF002060"/>
        </patternFill>
      </fill>
    </dxf>
    <dxf>
      <fill>
        <patternFill>
          <fgColor rgb="FFD8D8D8"/>
          <bgColor rgb="FF232B42"/>
        </patternFill>
      </fill>
    </dxf>
    <dxf>
      <fill>
        <patternFill>
          <bgColor rgb="FF29334F"/>
        </patternFill>
      </fill>
    </dxf>
    <dxf>
      <font>
        <color rgb="FF657EC3"/>
      </font>
      <fill>
        <patternFill>
          <bgColor rgb="FF232B42"/>
        </patternFill>
      </fill>
    </dxf>
    <dxf>
      <font>
        <color rgb="FF657EC3"/>
      </font>
      <fill>
        <patternFill>
          <bgColor rgb="FF29334F"/>
        </patternFill>
      </fill>
    </dxf>
    <dxf>
      <font>
        <strike val="0"/>
        <outline val="0"/>
        <shadow val="0"/>
        <u val="none"/>
        <vertAlign val="baseline"/>
        <sz val="9"/>
        <color theme="0"/>
        <name val="MS-PGothic"/>
        <charset val="128"/>
        <scheme val="none"/>
      </font>
      <fill>
        <patternFill patternType="solid">
          <fgColor indexed="64"/>
          <bgColor rgb="FF232B42"/>
        </patternFill>
      </fill>
    </dxf>
    <dxf>
      <font>
        <strike val="0"/>
        <outline val="0"/>
        <shadow val="0"/>
        <u val="none"/>
        <vertAlign val="baseline"/>
        <sz val="9"/>
        <name val="MS-PGothic"/>
        <charset val="128"/>
        <scheme val="none"/>
      </font>
      <numFmt numFmtId="0" formatCode="General"/>
    </dxf>
    <dxf>
      <font>
        <strike val="0"/>
        <outline val="0"/>
        <shadow val="0"/>
        <u val="none"/>
        <vertAlign val="baseline"/>
        <sz val="9"/>
        <name val="MS-PGothic"/>
        <charset val="128"/>
        <scheme val="none"/>
      </font>
    </dxf>
    <dxf>
      <font>
        <strike val="0"/>
        <outline val="0"/>
        <shadow val="0"/>
        <u val="none"/>
        <vertAlign val="baseline"/>
        <sz val="8"/>
        <name val="MS-PGothic"/>
        <charset val="128"/>
        <scheme val="none"/>
      </font>
      <alignment vertical="center" textRotation="0" wrapText="1" indent="0" justifyLastLine="0" shrinkToFit="0" readingOrder="0"/>
    </dxf>
    <dxf>
      <font>
        <strike val="0"/>
        <outline val="0"/>
        <shadow val="0"/>
        <u val="none"/>
        <vertAlign val="baseline"/>
        <sz val="9"/>
        <name val="MS-PGothic"/>
        <charset val="128"/>
        <scheme val="none"/>
      </font>
    </dxf>
    <dxf>
      <font>
        <strike val="0"/>
        <outline val="0"/>
        <shadow val="0"/>
        <u val="none"/>
        <vertAlign val="baseline"/>
        <sz val="9"/>
        <color rgb="FF657EC3"/>
        <name val="MS-PGothic"/>
        <charset val="128"/>
        <scheme val="none"/>
      </font>
      <fill>
        <patternFill patternType="solid">
          <fgColor indexed="64"/>
          <bgColor rgb="FF657EC3"/>
        </patternFill>
      </fill>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dxf>
    <dxf>
      <font>
        <strike val="0"/>
        <outline val="0"/>
        <shadow val="0"/>
        <u val="none"/>
        <vertAlign val="baseline"/>
        <sz val="9"/>
        <name val="MS-PGothic"/>
        <charset val="128"/>
        <scheme val="none"/>
      </font>
      <fill>
        <patternFill patternType="solid">
          <fgColor indexed="64"/>
          <bgColor rgb="FF002060"/>
        </patternFill>
      </fill>
    </dxf>
    <dxf>
      <fill>
        <patternFill>
          <fgColor rgb="FFD8D8D8"/>
          <bgColor rgb="FF232B42"/>
        </patternFill>
      </fill>
    </dxf>
    <dxf>
      <fill>
        <patternFill>
          <bgColor rgb="FF29334F"/>
        </patternFill>
      </fill>
    </dxf>
    <dxf>
      <font>
        <color rgb="FF657EC3"/>
      </font>
      <fill>
        <patternFill>
          <bgColor rgb="FF232B42"/>
        </patternFill>
      </fill>
    </dxf>
    <dxf>
      <font>
        <color rgb="FF657EC3"/>
      </font>
      <fill>
        <patternFill>
          <bgColor rgb="FF29334F"/>
        </patternFill>
      </fill>
    </dxf>
    <dxf>
      <font>
        <b/>
        <strike val="0"/>
        <outline val="0"/>
        <shadow val="0"/>
        <u val="none"/>
        <vertAlign val="baseline"/>
        <sz val="14"/>
        <color theme="0"/>
        <name val="ＭＳ 明朝"/>
        <charset val="128"/>
        <scheme val="none"/>
      </font>
      <fill>
        <patternFill patternType="solid">
          <fgColor indexed="64"/>
          <bgColor rgb="FF232B42"/>
        </patternFill>
      </fill>
    </dxf>
    <dxf>
      <font>
        <b/>
        <strike val="0"/>
        <outline val="0"/>
        <shadow val="0"/>
        <u val="none"/>
        <vertAlign val="baseline"/>
        <sz val="14"/>
        <name val="ＭＳ 明朝"/>
        <charset val="128"/>
        <scheme val="none"/>
      </font>
      <numFmt numFmtId="0" formatCode="General"/>
    </dxf>
    <dxf>
      <font>
        <b/>
        <strike val="0"/>
        <outline val="0"/>
        <shadow val="0"/>
        <u val="none"/>
        <vertAlign val="baseline"/>
        <sz val="14"/>
        <name val="ＭＳ 明朝"/>
        <charset val="128"/>
        <scheme val="none"/>
      </font>
    </dxf>
    <dxf>
      <font>
        <b/>
        <strike val="0"/>
        <outline val="0"/>
        <shadow val="0"/>
        <u val="none"/>
        <vertAlign val="baseline"/>
        <sz val="14"/>
        <name val="ＭＳ 明朝"/>
        <charset val="128"/>
        <scheme val="none"/>
      </font>
    </dxf>
    <dxf>
      <font>
        <b/>
        <strike val="0"/>
        <outline val="0"/>
        <shadow val="0"/>
        <u val="none"/>
        <vertAlign val="baseline"/>
        <sz val="14"/>
        <name val="ＭＳ 明朝"/>
        <charset val="128"/>
        <scheme val="none"/>
      </font>
    </dxf>
    <dxf>
      <font>
        <b/>
        <strike val="0"/>
        <outline val="0"/>
        <shadow val="0"/>
        <u val="none"/>
        <vertAlign val="baseline"/>
        <sz val="14"/>
        <color rgb="FF657EC3"/>
        <name val="ＭＳ 明朝"/>
        <charset val="128"/>
        <scheme val="none"/>
      </font>
      <fill>
        <patternFill patternType="solid">
          <fgColor indexed="64"/>
          <bgColor rgb="FF657EC3"/>
        </patternFill>
      </fill>
      <alignment horizontal="center" vertical="center" textRotation="0" wrapText="0" indent="0" justifyLastLine="0" shrinkToFit="0" readingOrder="0"/>
    </dxf>
    <dxf>
      <font>
        <b/>
        <strike val="0"/>
        <outline val="0"/>
        <shadow val="0"/>
        <u val="none"/>
        <vertAlign val="baseline"/>
        <sz val="14"/>
        <name val="ＭＳ 明朝"/>
        <charset val="128"/>
        <scheme val="none"/>
      </font>
    </dxf>
    <dxf>
      <font>
        <b/>
        <strike val="0"/>
        <outline val="0"/>
        <shadow val="0"/>
        <u val="none"/>
        <vertAlign val="baseline"/>
        <sz val="14"/>
        <name val="ＭＳ 明朝"/>
        <charset val="128"/>
        <scheme val="none"/>
      </font>
    </dxf>
    <dxf>
      <font>
        <b/>
        <strike val="0"/>
        <outline val="0"/>
        <shadow val="0"/>
        <u val="none"/>
        <vertAlign val="baseline"/>
        <sz val="14"/>
        <name val="ＭＳ 明朝"/>
        <charset val="128"/>
        <scheme val="none"/>
      </font>
    </dxf>
    <dxf>
      <font>
        <b/>
        <strike val="0"/>
        <outline val="0"/>
        <shadow val="0"/>
        <u val="none"/>
        <vertAlign val="baseline"/>
        <sz val="14"/>
        <name val="ＭＳ 明朝"/>
        <charset val="128"/>
        <scheme val="none"/>
      </font>
    </dxf>
    <dxf>
      <font>
        <b/>
        <strike val="0"/>
        <outline val="0"/>
        <shadow val="0"/>
        <u val="none"/>
        <vertAlign val="baseline"/>
        <sz val="14"/>
        <name val="ＭＳ 明朝"/>
        <charset val="128"/>
        <scheme val="none"/>
      </font>
      <fill>
        <patternFill patternType="solid">
          <fgColor indexed="64"/>
          <bgColor rgb="FF002060"/>
        </patternFill>
      </fill>
    </dxf>
    <dxf>
      <fill>
        <patternFill>
          <fgColor rgb="FFD8D8D8"/>
          <bgColor rgb="FF232B42"/>
        </patternFill>
      </fill>
    </dxf>
    <dxf>
      <fill>
        <patternFill>
          <bgColor rgb="FF29334F"/>
        </patternFill>
      </fill>
    </dxf>
    <dxf>
      <font>
        <color rgb="FF657EC3"/>
      </font>
      <fill>
        <patternFill>
          <bgColor rgb="FF232B42"/>
        </patternFill>
      </fill>
    </dxf>
    <dxf>
      <font>
        <color rgb="FF657EC3"/>
      </font>
      <fill>
        <patternFill>
          <bgColor rgb="FF29334F"/>
        </patternFill>
      </fill>
    </dxf>
    <dxf>
      <fill>
        <patternFill>
          <fgColor rgb="FFD8D8D8"/>
        </patternFill>
      </fill>
      <border>
        <left/>
        <right/>
        <top style="dashed">
          <color theme="0"/>
        </top>
        <bottom style="dashed">
          <color theme="0"/>
        </bottom>
        <vertical/>
        <horizontal style="dashed">
          <color theme="0"/>
        </horizontal>
      </border>
    </dxf>
    <dxf>
      <fill>
        <patternFill>
          <fgColor rgb="FFD8D8D8"/>
        </patternFill>
      </fill>
      <border>
        <top style="dashed">
          <color theme="0"/>
        </top>
        <bottom style="dashed">
          <color theme="0"/>
        </bottom>
        <horizontal style="dashed">
          <color theme="0"/>
        </horizontal>
      </border>
    </dxf>
    <dxf>
      <border>
        <left style="thick">
          <color theme="0"/>
        </left>
        <right style="thick">
          <color theme="0"/>
        </right>
        <top style="thick">
          <color theme="0"/>
        </top>
        <bottom style="thick">
          <color theme="0"/>
        </bottom>
        <vertical style="medium">
          <color theme="0"/>
        </vertical>
        <horizontal style="medium">
          <color theme="0"/>
        </horizontal>
      </border>
    </dxf>
  </dxfs>
  <tableStyles count="1" defaultTableStyle="TableStyleMedium2" defaultPivotStyle="PivotStyleLight16">
    <tableStyle name="テーブル スタイル 1" pivot="0" count="4" xr9:uid="{366252B9-0DAB-C142-8088-EF491805348E}">
      <tableStyleElement type="wholeTable" dxfId="62"/>
      <tableStyleElement type="secondRowStripe" dxfId="61"/>
      <tableStyleElement type="firstColumnStripe" size="2"/>
      <tableStyleElement type="secondColumnStripe" dxfId="60"/>
    </tableStyle>
  </tableStyles>
  <colors>
    <mruColors>
      <color rgb="FF232B42"/>
      <color rgb="FF232B89"/>
      <color rgb="FF657EC3"/>
      <color rgb="FF972B42"/>
      <color rgb="FF29334F"/>
      <color rgb="FFD8D8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checked="Checked" firstButton="1" fmlaLink="$E$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firstButton="1" fmlaLink="$E$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E$1" lockText="1" noThreeD="1"/>
</file>

<file path=xl/ctrlProps/ctrlProp12.xml><?xml version="1.0" encoding="utf-8"?>
<formControlPr xmlns="http://schemas.microsoft.com/office/spreadsheetml/2009/9/main" objectType="Radio"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50800</xdr:rowOff>
        </xdr:from>
        <xdr:to>
          <xdr:col>1</xdr:col>
          <xdr:colOff>698500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ボタン</a:t>
              </a:r>
              <a:r>
                <a:rPr lang="ja-JP" altLang="en-US" sz="1200" b="0" i="0" u="none" strike="noStrike" baseline="0">
                  <a:solidFill>
                    <a:srgbClr val="000000"/>
                  </a:solidFill>
                  <a:latin typeface="Calibri" charset="0"/>
                  <a:ea typeface="游ゴシック" charset="-128"/>
                  <a:cs typeface="Calibri" charset="0"/>
                </a:rPr>
                <a:t> </a:t>
              </a:r>
              <a:endParaRPr lang="ja-JP" altLang="en-US" sz="1200" b="0" i="0" u="none" strike="noStrike" baseline="0">
                <a:solidFill>
                  <a:srgbClr val="000000"/>
                </a:solidFill>
                <a:latin typeface="Calibri" charset="0"/>
                <a:cs typeface="Calibri"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266700</xdr:rowOff>
        </xdr:from>
        <xdr:to>
          <xdr:col>3</xdr:col>
          <xdr:colOff>12700</xdr:colOff>
          <xdr:row>0</xdr:row>
          <xdr:rowOff>419100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76200</xdr:rowOff>
        </xdr:from>
        <xdr:to>
          <xdr:col>3</xdr:col>
          <xdr:colOff>25400</xdr:colOff>
          <xdr:row>0</xdr:row>
          <xdr:rowOff>241300</xdr:rowOff>
        </xdr:to>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50800</xdr:rowOff>
        </xdr:from>
        <xdr:to>
          <xdr:col>1</xdr:col>
          <xdr:colOff>685800</xdr:colOff>
          <xdr:row>0</xdr:row>
          <xdr:rowOff>419100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ボタン</a:t>
              </a:r>
              <a:r>
                <a:rPr lang="ja-JP" altLang="en-US" sz="1200" b="0" i="0" u="none" strike="noStrike" baseline="0">
                  <a:solidFill>
                    <a:srgbClr val="000000"/>
                  </a:solidFill>
                  <a:latin typeface="Calibri" charset="0"/>
                  <a:ea typeface="游ゴシック" charset="-128"/>
                  <a:cs typeface="Calibri" charset="0"/>
                </a:rPr>
                <a:t> </a:t>
              </a:r>
              <a:endParaRPr lang="ja-JP" altLang="en-US" sz="1200" b="0" i="0" u="none" strike="noStrike" baseline="0">
                <a:solidFill>
                  <a:srgbClr val="000000"/>
                </a:solidFill>
                <a:latin typeface="Calibri" charset="0"/>
                <a:cs typeface="Calibri"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266700</xdr:rowOff>
        </xdr:from>
        <xdr:to>
          <xdr:col>2</xdr:col>
          <xdr:colOff>266700</xdr:colOff>
          <xdr:row>0</xdr:row>
          <xdr:rowOff>431800</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76200</xdr:rowOff>
        </xdr:from>
        <xdr:to>
          <xdr:col>3</xdr:col>
          <xdr:colOff>0</xdr:colOff>
          <xdr:row>0</xdr:row>
          <xdr:rowOff>241300</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50800</xdr:rowOff>
        </xdr:from>
        <xdr:to>
          <xdr:col>1</xdr:col>
          <xdr:colOff>609600</xdr:colOff>
          <xdr:row>0</xdr:row>
          <xdr:rowOff>419100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ボタン</a:t>
              </a:r>
              <a:r>
                <a:rPr lang="ja-JP" altLang="en-US" sz="1200" b="0" i="0" u="none" strike="noStrike" baseline="0">
                  <a:solidFill>
                    <a:srgbClr val="000000"/>
                  </a:solidFill>
                  <a:latin typeface="Calibri" charset="0"/>
                  <a:ea typeface="游ゴシック" charset="-128"/>
                  <a:cs typeface="Calibri" charset="0"/>
                </a:rPr>
                <a:t> </a:t>
              </a:r>
              <a:endParaRPr lang="ja-JP" altLang="en-US" sz="1200" b="0" i="0" u="none" strike="noStrike" baseline="0">
                <a:solidFill>
                  <a:srgbClr val="000000"/>
                </a:solidFill>
                <a:latin typeface="Calibri" charset="0"/>
                <a:cs typeface="Calibri"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241300</xdr:rowOff>
        </xdr:from>
        <xdr:to>
          <xdr:col>3</xdr:col>
          <xdr:colOff>12700</xdr:colOff>
          <xdr:row>0</xdr:row>
          <xdr:rowOff>406400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76200</xdr:rowOff>
        </xdr:from>
        <xdr:to>
          <xdr:col>3</xdr:col>
          <xdr:colOff>12700</xdr:colOff>
          <xdr:row>0</xdr:row>
          <xdr:rowOff>241300</xdr:rowOff>
        </xdr:to>
        <xdr:sp macro="" textlink="">
          <xdr:nvSpPr>
            <xdr:cNvPr id="7171" name="Option Button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50800</xdr:rowOff>
        </xdr:from>
        <xdr:to>
          <xdr:col>1</xdr:col>
          <xdr:colOff>609600</xdr:colOff>
          <xdr:row>0</xdr:row>
          <xdr:rowOff>419100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ボタン</a:t>
              </a:r>
              <a:r>
                <a:rPr lang="ja-JP" altLang="en-US" sz="1200" b="0" i="0" u="none" strike="noStrike" baseline="0">
                  <a:solidFill>
                    <a:srgbClr val="000000"/>
                  </a:solidFill>
                  <a:latin typeface="Calibri" charset="0"/>
                  <a:ea typeface="游ゴシック" charset="-128"/>
                  <a:cs typeface="Calibri" charset="0"/>
                </a:rPr>
                <a:t> </a:t>
              </a:r>
              <a:endParaRPr lang="ja-JP" altLang="en-US" sz="1200" b="0" i="0" u="none" strike="noStrike" baseline="0">
                <a:solidFill>
                  <a:srgbClr val="000000"/>
                </a:solidFill>
                <a:latin typeface="Calibri" charset="0"/>
                <a:cs typeface="Calibri"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241300</xdr:rowOff>
        </xdr:from>
        <xdr:to>
          <xdr:col>3</xdr:col>
          <xdr:colOff>12700</xdr:colOff>
          <xdr:row>0</xdr:row>
          <xdr:rowOff>406400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0</xdr:row>
          <xdr:rowOff>76200</xdr:rowOff>
        </xdr:from>
        <xdr:to>
          <xdr:col>3</xdr:col>
          <xdr:colOff>12700</xdr:colOff>
          <xdr:row>0</xdr:row>
          <xdr:rowOff>241300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a:p>
              <a:pPr algn="l" rtl="0">
                <a:defRPr sz="1000"/>
              </a:pPr>
              <a:endParaRPr lang="ja-JP" altLang="en-US" sz="1200" b="0" i="0" u="none" strike="noStrike" baseline="0">
                <a:solidFill>
                  <a:srgbClr val="000000"/>
                </a:solidFill>
                <a:latin typeface="Calibri" charset="0"/>
                <a:cs typeface="Calibri" charset="0"/>
              </a:endParaRP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25BAC6-972D-B642-BC03-6DEF5D7D0D37}" name="テーブル32" displayName="テーブル32" ref="B2:J987" totalsRowShown="0" headerRowDxfId="55" dataDxfId="54">
  <autoFilter ref="B2:J987" xr:uid="{31A56E39-910B-014D-9938-42D445621928}">
    <filterColumn colId="1">
      <filters blank="1"/>
    </filterColumn>
    <filterColumn colId="7">
      <filters>
        <filter val="●"/>
      </filters>
    </filterColumn>
  </autoFilter>
  <sortState xmlns:xlrd2="http://schemas.microsoft.com/office/spreadsheetml/2017/richdata2" ref="B3:J987">
    <sortCondition descending="1" ref="B2:B987"/>
  </sortState>
  <tableColumns count="9">
    <tableColumn id="1" xr3:uid="{68FD73E7-624C-234C-8A11-2CDC9858B632}" name="区分" dataDxfId="53"/>
    <tableColumn id="2" xr3:uid="{652D0854-BACF-1F42-A210-EDDA5E87B5E7}" name="列1" dataDxfId="52"/>
    <tableColumn id="3" xr3:uid="{0DB238E1-78F8-054D-AC82-D13E66989DFB}" name="Tr or Fa" dataDxfId="51"/>
    <tableColumn id="4" xr3:uid="{E5FE6F4C-F49A-FF46-96F9-22D6D1A92E23}" name="answer" dataDxfId="50"/>
    <tableColumn id="5" xr3:uid="{042DE83C-FDAE-BA4B-BBFB-21BC5342A531}" name="question" dataDxfId="49"/>
    <tableColumn id="6" xr3:uid="{CEAD5417-B120-5141-951F-ADE915102E4D}" name="URL" dataDxfId="48"/>
    <tableColumn id="7" xr3:uid="{6658629F-34F9-A446-A4C5-3C636DC4BE23}" name="next day" dataDxfId="47"/>
    <tableColumn id="8" xr3:uid="{44941916-AF6A-274B-8E96-1F11FCEF1D8D}" name="deadline" dataDxfId="46">
      <calculatedColumnFormula>IF(H3-$G$1&lt;=0,"●","")</calculatedColumnFormula>
    </tableColumn>
    <tableColumn id="9" xr3:uid="{87840AD5-F512-4B47-AF1B-D0857CDAA614}" name="No" dataDxfId="45">
      <calculatedColumnFormula>ROW()-2</calculatedColumnFormula>
    </tableColumn>
  </tableColumns>
  <tableStyleInfo name="テーブル スタイル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1C789DE-0715-AD48-8D59-E006B1E26962}" name="テーブル33" displayName="テーブル33" ref="B2:J333" totalsRowShown="0" headerRowDxfId="40" dataDxfId="39">
  <autoFilter ref="B2:J333" xr:uid="{31A56E39-910B-014D-9938-42D445621928}"/>
  <sortState xmlns:xlrd2="http://schemas.microsoft.com/office/spreadsheetml/2017/richdata2" ref="B3:J314">
    <sortCondition descending="1" ref="B2:B314"/>
  </sortState>
  <tableColumns count="9">
    <tableColumn id="1" xr3:uid="{86489D13-91F8-D241-A275-9409EC8736F1}" name="区分" dataDxfId="38"/>
    <tableColumn id="2" xr3:uid="{28F0CFB9-98C6-394B-B5F6-E8913509CA40}" name="列1" dataDxfId="37"/>
    <tableColumn id="3" xr3:uid="{7E8DB012-252D-A442-966E-032A8F8A8A93}" name="True or False" dataDxfId="36"/>
    <tableColumn id="4" xr3:uid="{5CC838CD-457F-9948-B04A-F280010ACD32}" name="0" dataDxfId="35"/>
    <tableColumn id="5" xr3:uid="{94F12BE7-91D8-AB49-845B-4EAFC6C05D0C}" name="question" dataDxfId="34"/>
    <tableColumn id="6" xr3:uid="{4243160C-055C-B243-AF42-6C6C22B5681F}" name="URL" dataDxfId="33"/>
    <tableColumn id="7" xr3:uid="{7D28A5D4-5217-D648-A9FE-EC7A08F98384}" name="next day" dataDxfId="32"/>
    <tableColumn id="8" xr3:uid="{8C80C439-7F26-9840-8E3F-9CABDFD61BA6}" name="deadline" dataDxfId="31">
      <calculatedColumnFormula>IF(H3-$G$1&lt;=0,"●","")</calculatedColumnFormula>
    </tableColumn>
    <tableColumn id="9" xr3:uid="{DB0F7BCC-1540-4763-99DC-8DDF71AF89DD}" name="No" dataDxfId="30">
      <calculatedColumnFormula>ROW()-2</calculatedColumnFormula>
    </tableColumn>
  </tableColumns>
  <tableStyleInfo name="テーブル スタイル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B87D70-A8FA-A448-B59B-BDA57C11C360}" name="テーブル35" displayName="テーブル35" ref="B2:J64" totalsRowShown="0" headerRowDxfId="25" dataDxfId="24">
  <autoFilter ref="B2:J64" xr:uid="{31A56E39-910B-014D-9938-42D445621928}"/>
  <tableColumns count="9">
    <tableColumn id="1" xr3:uid="{CD3F8CD4-3467-5B45-90AC-D2FCE6FE44C3}" name="区分" dataDxfId="23"/>
    <tableColumn id="2" xr3:uid="{A4F2331F-609D-CA43-994A-D7425026136A}" name="列1" dataDxfId="22"/>
    <tableColumn id="3" xr3:uid="{ED23DE02-7334-E841-B1F5-0516FB63AB92}" name="True or False" dataDxfId="21"/>
    <tableColumn id="4" xr3:uid="{99CD00DC-AF61-1346-B216-01FBB4BFCA8E}" name="answer" dataDxfId="20"/>
    <tableColumn id="5" xr3:uid="{8252820F-DB7A-6146-8AFA-488BF14C70AF}" name="question" dataDxfId="19"/>
    <tableColumn id="6" xr3:uid="{641A0E9B-619E-2141-80D5-C228DA84818D}" name="URL" dataDxfId="18"/>
    <tableColumn id="7" xr3:uid="{6537580A-D30A-9E4C-AC5A-D422A9D5BF69}" name="next day" dataDxfId="17"/>
    <tableColumn id="8" xr3:uid="{082CF8EE-D879-F543-889C-EAE2E281AFB0}" name="deadline" dataDxfId="16">
      <calculatedColumnFormula>IF(H3-$G$1&lt;=0,"●","")</calculatedColumnFormula>
    </tableColumn>
    <tableColumn id="9" xr3:uid="{7EDA06A0-F71C-254A-8ACF-AF8BB9275F71}" name="No" dataDxfId="15">
      <calculatedColumnFormula>ROW()-2</calculatedColumnFormula>
    </tableColumn>
  </tableColumns>
  <tableStyleInfo name="テーブル スタイル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A56E39-910B-014D-9938-42D445621928}" name="テーブル3" displayName="テーブル3" ref="B2:J15" totalsRowShown="0" headerRowDxfId="10" dataDxfId="9">
  <autoFilter ref="B2:J15" xr:uid="{31A56E39-910B-014D-9938-42D445621928}"/>
  <tableColumns count="9">
    <tableColumn id="1" xr3:uid="{DEEB5C5F-BEF2-9E47-9D71-A608C1D4E040}" name="区分" dataDxfId="8"/>
    <tableColumn id="2" xr3:uid="{F3E34256-2050-A64B-8920-478F128C001C}" name="列1" dataDxfId="7"/>
    <tableColumn id="3" xr3:uid="{8A5EF1ED-E971-1944-8561-1654B8874364}" name="True or False" dataDxfId="6"/>
    <tableColumn id="4" xr3:uid="{17F3E655-F184-1844-AFDA-0FBA24B97155}" name="answer" dataDxfId="5"/>
    <tableColumn id="5" xr3:uid="{3CD8E5AB-67BC-CE4A-8135-B120F0B54C9A}" name="question" dataDxfId="4"/>
    <tableColumn id="6" xr3:uid="{0F0BF2F1-8B93-E343-B745-9C4EF23EA0FA}" name="URL" dataDxfId="3"/>
    <tableColumn id="7" xr3:uid="{22070B21-9B48-CA4E-98A7-C962D68E0B98}" name="next day" dataDxfId="2"/>
    <tableColumn id="8" xr3:uid="{802212A0-C13A-B848-8433-1BBD2E405E46}" name="deadline" dataDxfId="1">
      <calculatedColumnFormula>IF(H3-$G$1&lt;=0,"●","")</calculatedColumnFormula>
    </tableColumn>
    <tableColumn id="9" xr3:uid="{2C48164C-119B-4EAC-AAA2-13D5DB98F580}" name="No" dataDxfId="0">
      <calculatedColumnFormula>ROW()-2</calculatedColumnFormula>
    </tableColumn>
  </tableColumns>
  <tableStyleInfo name="テーブル スタイル 1"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A0A5D-FBEA-6D45-BB9F-8D6D8C26E3BE}">
  <sheetPr codeName="Sheet2">
    <tabColor rgb="FFFF0000"/>
  </sheetPr>
  <dimension ref="A1:J987"/>
  <sheetViews>
    <sheetView topLeftCell="E1" zoomScale="135" zoomScaleNormal="75" workbookViewId="0">
      <pane ySplit="2" topLeftCell="A3" activePane="bottomLeft" state="frozen"/>
      <selection activeCell="B1" sqref="B1"/>
      <selection pane="bottomLeft" activeCell="B1" sqref="B1"/>
    </sheetView>
  </sheetViews>
  <sheetFormatPr baseColWidth="10" defaultColWidth="10.6640625" defaultRowHeight="17"/>
  <cols>
    <col min="1" max="1" width="3.83203125" style="31" customWidth="1"/>
    <col min="2" max="2" width="10.6640625" style="31" customWidth="1"/>
    <col min="3" max="3" width="2.5" style="31" customWidth="1"/>
    <col min="4" max="4" width="9.33203125" style="31" customWidth="1"/>
    <col min="5" max="5" width="28.33203125" style="31" customWidth="1"/>
    <col min="6" max="6" width="35" style="31" bestFit="1" customWidth="1"/>
    <col min="7" max="7" width="58" style="31" bestFit="1" customWidth="1"/>
    <col min="8" max="8" width="16.6640625" style="31" bestFit="1" customWidth="1"/>
    <col min="9" max="9" width="8.6640625" style="31" customWidth="1"/>
    <col min="10" max="10" width="10.6640625" style="31" bestFit="1" customWidth="1"/>
    <col min="11" max="16384" width="10.6640625" style="31"/>
  </cols>
  <sheetData>
    <row r="1" spans="1:10" ht="40" customHeight="1">
      <c r="A1" s="31">
        <v>17</v>
      </c>
      <c r="C1" s="36"/>
      <c r="D1" s="37" t="s">
        <v>0</v>
      </c>
      <c r="E1" s="32">
        <v>2</v>
      </c>
      <c r="F1" s="31" t="str">
        <f ca="1">"FALSE "&amp;COUNTIF(テーブル32[Tr or Fa],FALSE)&amp;"/TEST "&amp;COUNTIF(テーブル32[deadline],"●")-(COUNTIFS(テーブル32[deadline],"●",テーブル32[列1],"]")+COUNTIFS(テーブル32[deadline],"●",テーブル32[列1],"ま"))-2</f>
        <v>FALSE 87/TEST 317</v>
      </c>
      <c r="G1" s="38">
        <f ca="1">TODAY()</f>
        <v>45745</v>
      </c>
      <c r="H1" s="32"/>
    </row>
    <row r="2" spans="1:10">
      <c r="B2" s="33" t="s">
        <v>1</v>
      </c>
      <c r="C2" s="33" t="s">
        <v>2</v>
      </c>
      <c r="D2" s="33" t="s">
        <v>3</v>
      </c>
      <c r="E2" s="33" t="s">
        <v>4</v>
      </c>
      <c r="F2" s="33" t="s">
        <v>5</v>
      </c>
      <c r="G2" s="33" t="s">
        <v>6</v>
      </c>
      <c r="H2" s="39" t="s">
        <v>7</v>
      </c>
      <c r="I2" s="39" t="s">
        <v>8</v>
      </c>
      <c r="J2" s="39" t="s">
        <v>9</v>
      </c>
    </row>
    <row r="3" spans="1:10" hidden="1">
      <c r="B3" s="31">
        <v>5</v>
      </c>
      <c r="D3" s="31" t="b">
        <v>1</v>
      </c>
      <c r="E3" s="34" t="s">
        <v>10</v>
      </c>
      <c r="F3" s="31" t="s">
        <v>11</v>
      </c>
      <c r="H3" s="40">
        <v>45742</v>
      </c>
      <c r="I3" s="31" t="str">
        <f t="shared" ref="I3:I56" ca="1" si="0">IF(H3-$G$1&lt;=0,"●","")</f>
        <v>●</v>
      </c>
      <c r="J3" s="31">
        <f t="shared" ref="J3:J56" si="1">ROW()-2</f>
        <v>1</v>
      </c>
    </row>
    <row r="4" spans="1:10" hidden="1">
      <c r="B4" s="31">
        <v>5</v>
      </c>
      <c r="D4" s="31" t="b">
        <v>1</v>
      </c>
      <c r="E4" s="34" t="s">
        <v>12</v>
      </c>
      <c r="F4" s="31" t="s">
        <v>13</v>
      </c>
      <c r="H4" s="40">
        <v>45742</v>
      </c>
      <c r="I4" s="31" t="str">
        <f t="shared" ca="1" si="0"/>
        <v>●</v>
      </c>
      <c r="J4" s="31">
        <f t="shared" si="1"/>
        <v>2</v>
      </c>
    </row>
    <row r="5" spans="1:10" hidden="1">
      <c r="B5" s="31">
        <v>5</v>
      </c>
      <c r="D5" s="31" t="b">
        <v>1</v>
      </c>
      <c r="E5" s="34" t="s">
        <v>14</v>
      </c>
      <c r="F5" s="31" t="s">
        <v>15</v>
      </c>
      <c r="H5" s="40">
        <v>45742</v>
      </c>
      <c r="I5" s="31" t="str">
        <f t="shared" ca="1" si="0"/>
        <v>●</v>
      </c>
      <c r="J5" s="31">
        <f t="shared" si="1"/>
        <v>3</v>
      </c>
    </row>
    <row r="6" spans="1:10" hidden="1">
      <c r="B6" s="31">
        <v>5</v>
      </c>
      <c r="D6" s="31" t="b">
        <v>1</v>
      </c>
      <c r="E6" s="34" t="s">
        <v>16</v>
      </c>
      <c r="F6" s="31" t="s">
        <v>17</v>
      </c>
      <c r="H6" s="40">
        <v>45742</v>
      </c>
      <c r="I6" s="31" t="str">
        <f t="shared" ca="1" si="0"/>
        <v>●</v>
      </c>
      <c r="J6" s="31">
        <f t="shared" si="1"/>
        <v>4</v>
      </c>
    </row>
    <row r="7" spans="1:10" hidden="1">
      <c r="B7" s="31">
        <v>5</v>
      </c>
      <c r="D7" s="31" t="b">
        <v>1</v>
      </c>
      <c r="E7" s="34" t="s">
        <v>18</v>
      </c>
      <c r="F7" s="31" t="s">
        <v>19</v>
      </c>
      <c r="H7" s="40">
        <v>45742</v>
      </c>
      <c r="I7" s="31" t="str">
        <f t="shared" ca="1" si="0"/>
        <v>●</v>
      </c>
      <c r="J7" s="31">
        <f t="shared" si="1"/>
        <v>5</v>
      </c>
    </row>
    <row r="8" spans="1:10" hidden="1">
      <c r="B8" s="31">
        <v>5</v>
      </c>
      <c r="D8" s="31" t="b">
        <v>1</v>
      </c>
      <c r="E8" s="34" t="s">
        <v>20</v>
      </c>
      <c r="F8" s="31" t="s">
        <v>21</v>
      </c>
      <c r="H8" s="40">
        <v>45742</v>
      </c>
      <c r="I8" s="31" t="str">
        <f t="shared" ca="1" si="0"/>
        <v>●</v>
      </c>
      <c r="J8" s="31">
        <f t="shared" si="1"/>
        <v>6</v>
      </c>
    </row>
    <row r="9" spans="1:10" hidden="1">
      <c r="B9" s="31">
        <v>5</v>
      </c>
      <c r="D9" s="31" t="b">
        <v>1</v>
      </c>
      <c r="E9" s="34" t="s">
        <v>22</v>
      </c>
      <c r="F9" s="31" t="s">
        <v>23</v>
      </c>
      <c r="H9" s="40">
        <v>45742</v>
      </c>
      <c r="I9" s="31" t="str">
        <f t="shared" ca="1" si="0"/>
        <v>●</v>
      </c>
      <c r="J9" s="31">
        <f t="shared" si="1"/>
        <v>7</v>
      </c>
    </row>
    <row r="10" spans="1:10" hidden="1">
      <c r="B10" s="31">
        <v>5</v>
      </c>
      <c r="D10" s="31" t="b">
        <v>1</v>
      </c>
      <c r="E10" s="34" t="s">
        <v>24</v>
      </c>
      <c r="F10" s="31" t="s">
        <v>25</v>
      </c>
      <c r="H10" s="40">
        <v>45742</v>
      </c>
      <c r="I10" s="31" t="str">
        <f t="shared" ca="1" si="0"/>
        <v>●</v>
      </c>
      <c r="J10" s="31">
        <f t="shared" si="1"/>
        <v>8</v>
      </c>
    </row>
    <row r="11" spans="1:10" hidden="1">
      <c r="B11" s="31">
        <v>5</v>
      </c>
      <c r="D11" s="31" t="b">
        <v>1</v>
      </c>
      <c r="E11" s="34" t="s">
        <v>26</v>
      </c>
      <c r="F11" s="31" t="s">
        <v>27</v>
      </c>
      <c r="H11" s="40">
        <v>45742</v>
      </c>
      <c r="I11" s="31" t="str">
        <f t="shared" ca="1" si="0"/>
        <v>●</v>
      </c>
      <c r="J11" s="31">
        <f t="shared" si="1"/>
        <v>9</v>
      </c>
    </row>
    <row r="12" spans="1:10" hidden="1">
      <c r="B12" s="31">
        <v>5</v>
      </c>
      <c r="D12" s="31" t="b">
        <v>1</v>
      </c>
      <c r="E12" s="34" t="s">
        <v>28</v>
      </c>
      <c r="F12" s="31" t="s">
        <v>29</v>
      </c>
      <c r="H12" s="40">
        <v>45742</v>
      </c>
      <c r="I12" s="31" t="str">
        <f t="shared" ca="1" si="0"/>
        <v>●</v>
      </c>
      <c r="J12" s="31">
        <f t="shared" si="1"/>
        <v>10</v>
      </c>
    </row>
    <row r="13" spans="1:10" hidden="1">
      <c r="B13" s="31">
        <v>5</v>
      </c>
      <c r="D13" s="31" t="b">
        <v>1</v>
      </c>
      <c r="E13" s="34" t="s">
        <v>30</v>
      </c>
      <c r="F13" s="31" t="s">
        <v>31</v>
      </c>
      <c r="H13" s="40">
        <v>45742</v>
      </c>
      <c r="I13" s="31" t="str">
        <f t="shared" ca="1" si="0"/>
        <v>●</v>
      </c>
      <c r="J13" s="31">
        <f t="shared" si="1"/>
        <v>11</v>
      </c>
    </row>
    <row r="14" spans="1:10" hidden="1">
      <c r="B14" s="31">
        <v>5</v>
      </c>
      <c r="D14" s="31" t="b">
        <v>1</v>
      </c>
      <c r="E14" s="34" t="s">
        <v>32</v>
      </c>
      <c r="F14" s="31" t="s">
        <v>33</v>
      </c>
      <c r="H14" s="40">
        <v>45742</v>
      </c>
      <c r="I14" s="31" t="str">
        <f t="shared" ca="1" si="0"/>
        <v>●</v>
      </c>
      <c r="J14" s="31">
        <f t="shared" si="1"/>
        <v>12</v>
      </c>
    </row>
    <row r="15" spans="1:10" hidden="1">
      <c r="B15" s="31">
        <v>5</v>
      </c>
      <c r="D15" s="31" t="b">
        <v>1</v>
      </c>
      <c r="E15" s="34" t="s">
        <v>34</v>
      </c>
      <c r="F15" s="31" t="s">
        <v>35</v>
      </c>
      <c r="H15" s="40">
        <v>45742</v>
      </c>
      <c r="I15" s="31" t="str">
        <f t="shared" ca="1" si="0"/>
        <v>●</v>
      </c>
      <c r="J15" s="31">
        <f t="shared" si="1"/>
        <v>13</v>
      </c>
    </row>
    <row r="16" spans="1:10" hidden="1">
      <c r="B16" s="31">
        <v>5</v>
      </c>
      <c r="D16" s="31" t="b">
        <v>1</v>
      </c>
      <c r="E16" s="34" t="s">
        <v>36</v>
      </c>
      <c r="F16" s="31" t="s">
        <v>37</v>
      </c>
      <c r="H16" s="40">
        <v>45742</v>
      </c>
      <c r="I16" s="31" t="str">
        <f t="shared" ca="1" si="0"/>
        <v>●</v>
      </c>
      <c r="J16" s="31">
        <f t="shared" si="1"/>
        <v>14</v>
      </c>
    </row>
    <row r="17" spans="2:10" hidden="1">
      <c r="B17" s="31">
        <v>5</v>
      </c>
      <c r="D17" s="31" t="b">
        <v>1</v>
      </c>
      <c r="E17" s="34" t="s">
        <v>38</v>
      </c>
      <c r="F17" s="31" t="s">
        <v>39</v>
      </c>
      <c r="H17" s="40">
        <v>45742</v>
      </c>
      <c r="I17" s="31" t="str">
        <f t="shared" ca="1" si="0"/>
        <v>●</v>
      </c>
      <c r="J17" s="31">
        <f t="shared" si="1"/>
        <v>15</v>
      </c>
    </row>
    <row r="18" spans="2:10" hidden="1">
      <c r="B18" s="31">
        <v>5</v>
      </c>
      <c r="D18" s="31" t="b">
        <v>1</v>
      </c>
      <c r="E18" s="34" t="s">
        <v>40</v>
      </c>
      <c r="F18" s="31" t="s">
        <v>41</v>
      </c>
      <c r="H18" s="40">
        <v>45742</v>
      </c>
      <c r="I18" s="31" t="str">
        <f t="shared" ca="1" si="0"/>
        <v>●</v>
      </c>
      <c r="J18" s="31">
        <f t="shared" si="1"/>
        <v>16</v>
      </c>
    </row>
    <row r="19" spans="2:10" hidden="1">
      <c r="B19" s="31">
        <v>5</v>
      </c>
      <c r="D19" s="31" t="b">
        <v>1</v>
      </c>
      <c r="E19" s="34" t="s">
        <v>42</v>
      </c>
      <c r="F19" s="31" t="s">
        <v>43</v>
      </c>
      <c r="H19" s="40">
        <v>45742</v>
      </c>
      <c r="I19" s="31" t="str">
        <f t="shared" ca="1" si="0"/>
        <v>●</v>
      </c>
      <c r="J19" s="31">
        <f t="shared" si="1"/>
        <v>17</v>
      </c>
    </row>
    <row r="20" spans="2:10" hidden="1">
      <c r="B20" s="31">
        <v>5</v>
      </c>
      <c r="D20" s="35" t="b">
        <v>1</v>
      </c>
      <c r="E20" s="34" t="s">
        <v>44</v>
      </c>
      <c r="F20" s="31" t="s">
        <v>45</v>
      </c>
      <c r="H20" s="40">
        <v>45742</v>
      </c>
      <c r="I20" s="31" t="str">
        <f t="shared" ca="1" si="0"/>
        <v>●</v>
      </c>
      <c r="J20" s="31">
        <f t="shared" si="1"/>
        <v>18</v>
      </c>
    </row>
    <row r="21" spans="2:10" hidden="1">
      <c r="B21" s="31">
        <v>5</v>
      </c>
      <c r="D21" s="35" t="b">
        <v>1</v>
      </c>
      <c r="E21" s="34" t="s">
        <v>46</v>
      </c>
      <c r="F21" s="31" t="s">
        <v>47</v>
      </c>
      <c r="H21" s="40">
        <v>45742</v>
      </c>
      <c r="I21" s="31" t="str">
        <f t="shared" ca="1" si="0"/>
        <v>●</v>
      </c>
      <c r="J21" s="31">
        <f t="shared" si="1"/>
        <v>19</v>
      </c>
    </row>
    <row r="22" spans="2:10" hidden="1">
      <c r="B22" s="31">
        <v>5</v>
      </c>
      <c r="D22" s="31" t="b">
        <v>1</v>
      </c>
      <c r="E22" s="34" t="s">
        <v>48</v>
      </c>
      <c r="F22" s="31" t="s">
        <v>49</v>
      </c>
      <c r="H22" s="40">
        <v>45742</v>
      </c>
      <c r="I22" s="31" t="str">
        <f t="shared" ca="1" si="0"/>
        <v>●</v>
      </c>
      <c r="J22" s="31">
        <f t="shared" si="1"/>
        <v>20</v>
      </c>
    </row>
    <row r="23" spans="2:10" hidden="1">
      <c r="B23" s="31">
        <v>5</v>
      </c>
      <c r="D23" s="31" t="b">
        <v>1</v>
      </c>
      <c r="E23" s="34" t="s">
        <v>50</v>
      </c>
      <c r="F23" s="31" t="s">
        <v>51</v>
      </c>
      <c r="H23" s="40">
        <v>45742</v>
      </c>
      <c r="I23" s="31" t="str">
        <f t="shared" ca="1" si="0"/>
        <v>●</v>
      </c>
      <c r="J23" s="31">
        <f t="shared" si="1"/>
        <v>21</v>
      </c>
    </row>
    <row r="24" spans="2:10" hidden="1">
      <c r="B24" s="31">
        <v>5</v>
      </c>
      <c r="D24" s="31" t="b">
        <v>1</v>
      </c>
      <c r="E24" s="34" t="s">
        <v>52</v>
      </c>
      <c r="F24" s="31" t="s">
        <v>53</v>
      </c>
      <c r="H24" s="40">
        <v>45742</v>
      </c>
      <c r="I24" s="31" t="str">
        <f t="shared" ca="1" si="0"/>
        <v>●</v>
      </c>
      <c r="J24" s="31">
        <f t="shared" si="1"/>
        <v>22</v>
      </c>
    </row>
    <row r="25" spans="2:10" hidden="1">
      <c r="B25" s="31">
        <v>5</v>
      </c>
      <c r="D25" s="31" t="b">
        <v>1</v>
      </c>
      <c r="E25" s="34" t="s">
        <v>54</v>
      </c>
      <c r="F25" s="31" t="s">
        <v>55</v>
      </c>
      <c r="H25" s="40">
        <v>45742</v>
      </c>
      <c r="I25" s="31" t="str">
        <f t="shared" ca="1" si="0"/>
        <v>●</v>
      </c>
      <c r="J25" s="31">
        <f t="shared" si="1"/>
        <v>23</v>
      </c>
    </row>
    <row r="26" spans="2:10" hidden="1">
      <c r="B26" s="31">
        <v>5</v>
      </c>
      <c r="D26" s="31" t="b">
        <v>1</v>
      </c>
      <c r="E26" s="34" t="s">
        <v>56</v>
      </c>
      <c r="F26" s="31" t="s">
        <v>57</v>
      </c>
      <c r="H26" s="40">
        <v>45742</v>
      </c>
      <c r="I26" s="31" t="str">
        <f t="shared" ca="1" si="0"/>
        <v>●</v>
      </c>
      <c r="J26" s="31">
        <f t="shared" si="1"/>
        <v>24</v>
      </c>
    </row>
    <row r="27" spans="2:10" hidden="1">
      <c r="B27" s="31">
        <v>5</v>
      </c>
      <c r="D27" s="31" t="b">
        <v>1</v>
      </c>
      <c r="E27" s="34" t="s">
        <v>58</v>
      </c>
      <c r="F27" s="31" t="s">
        <v>59</v>
      </c>
      <c r="H27" s="40">
        <v>45742</v>
      </c>
      <c r="I27" s="31" t="str">
        <f t="shared" ca="1" si="0"/>
        <v>●</v>
      </c>
      <c r="J27" s="31">
        <f t="shared" si="1"/>
        <v>25</v>
      </c>
    </row>
    <row r="28" spans="2:10" hidden="1">
      <c r="B28" s="31">
        <v>5</v>
      </c>
      <c r="D28" s="31" t="b">
        <v>1</v>
      </c>
      <c r="E28" s="34" t="s">
        <v>60</v>
      </c>
      <c r="F28" s="31" t="s">
        <v>61</v>
      </c>
      <c r="H28" s="40">
        <v>45742</v>
      </c>
      <c r="I28" s="31" t="str">
        <f t="shared" ca="1" si="0"/>
        <v>●</v>
      </c>
      <c r="J28" s="31">
        <f t="shared" si="1"/>
        <v>26</v>
      </c>
    </row>
    <row r="29" spans="2:10" hidden="1">
      <c r="B29" s="31">
        <v>5</v>
      </c>
      <c r="D29" s="31" t="b">
        <v>1</v>
      </c>
      <c r="E29" s="34" t="s">
        <v>62</v>
      </c>
      <c r="F29" s="31" t="s">
        <v>63</v>
      </c>
      <c r="H29" s="40">
        <v>45742</v>
      </c>
      <c r="I29" s="31" t="str">
        <f t="shared" ca="1" si="0"/>
        <v>●</v>
      </c>
      <c r="J29" s="31">
        <f t="shared" si="1"/>
        <v>27</v>
      </c>
    </row>
    <row r="30" spans="2:10" hidden="1">
      <c r="B30" s="31">
        <v>5</v>
      </c>
      <c r="D30" s="31" t="b">
        <v>1</v>
      </c>
      <c r="E30" s="34" t="s">
        <v>64</v>
      </c>
      <c r="F30" s="31" t="s">
        <v>65</v>
      </c>
      <c r="H30" s="40">
        <v>45742</v>
      </c>
      <c r="I30" s="31" t="str">
        <f t="shared" ca="1" si="0"/>
        <v>●</v>
      </c>
      <c r="J30" s="31">
        <f t="shared" si="1"/>
        <v>28</v>
      </c>
    </row>
    <row r="31" spans="2:10" hidden="1">
      <c r="B31" s="31">
        <v>5</v>
      </c>
      <c r="D31" s="31" t="b">
        <v>1</v>
      </c>
      <c r="E31" s="34" t="s">
        <v>66</v>
      </c>
      <c r="F31" s="31" t="s">
        <v>67</v>
      </c>
      <c r="H31" s="40">
        <v>45742</v>
      </c>
      <c r="I31" s="31" t="str">
        <f t="shared" ca="1" si="0"/>
        <v>●</v>
      </c>
      <c r="J31" s="31">
        <f t="shared" si="1"/>
        <v>29</v>
      </c>
    </row>
    <row r="32" spans="2:10" hidden="1">
      <c r="B32" s="31">
        <v>5</v>
      </c>
      <c r="D32" s="31" t="b">
        <v>1</v>
      </c>
      <c r="E32" s="34" t="s">
        <v>68</v>
      </c>
      <c r="F32" s="31" t="s">
        <v>69</v>
      </c>
      <c r="H32" s="40">
        <v>45742</v>
      </c>
      <c r="I32" s="31" t="str">
        <f t="shared" ca="1" si="0"/>
        <v>●</v>
      </c>
      <c r="J32" s="31">
        <f t="shared" si="1"/>
        <v>30</v>
      </c>
    </row>
    <row r="33" spans="2:10" hidden="1">
      <c r="B33" s="31">
        <v>5</v>
      </c>
      <c r="D33" s="31" t="b">
        <v>1</v>
      </c>
      <c r="E33" s="34" t="s">
        <v>48</v>
      </c>
      <c r="F33" s="31" t="s">
        <v>70</v>
      </c>
      <c r="H33" s="40">
        <v>45742</v>
      </c>
      <c r="I33" s="31" t="str">
        <f t="shared" ca="1" si="0"/>
        <v>●</v>
      </c>
      <c r="J33" s="31">
        <f t="shared" si="1"/>
        <v>31</v>
      </c>
    </row>
    <row r="34" spans="2:10" hidden="1">
      <c r="B34" s="31">
        <v>5</v>
      </c>
      <c r="D34" s="31" t="b">
        <v>1</v>
      </c>
      <c r="E34" s="34" t="s">
        <v>71</v>
      </c>
      <c r="F34" s="31" t="s">
        <v>72</v>
      </c>
      <c r="H34" s="40">
        <v>45742</v>
      </c>
      <c r="I34" s="31" t="str">
        <f t="shared" ca="1" si="0"/>
        <v>●</v>
      </c>
      <c r="J34" s="31">
        <f t="shared" si="1"/>
        <v>32</v>
      </c>
    </row>
    <row r="35" spans="2:10" hidden="1">
      <c r="B35" s="31">
        <v>5</v>
      </c>
      <c r="D35" s="35" t="b">
        <v>1</v>
      </c>
      <c r="E35" s="34" t="s">
        <v>73</v>
      </c>
      <c r="F35" s="31" t="s">
        <v>74</v>
      </c>
      <c r="H35" s="40">
        <v>45742</v>
      </c>
      <c r="I35" s="31" t="str">
        <f t="shared" ca="1" si="0"/>
        <v>●</v>
      </c>
      <c r="J35" s="31">
        <f t="shared" si="1"/>
        <v>33</v>
      </c>
    </row>
    <row r="36" spans="2:10" hidden="1">
      <c r="B36" s="31">
        <v>5</v>
      </c>
      <c r="D36" s="35" t="b">
        <v>1</v>
      </c>
      <c r="E36" s="34" t="s">
        <v>75</v>
      </c>
      <c r="F36" s="31" t="s">
        <v>76</v>
      </c>
      <c r="H36" s="40">
        <v>45742</v>
      </c>
      <c r="I36" s="31" t="str">
        <f t="shared" ca="1" si="0"/>
        <v>●</v>
      </c>
      <c r="J36" s="31">
        <f t="shared" si="1"/>
        <v>34</v>
      </c>
    </row>
    <row r="37" spans="2:10" hidden="1">
      <c r="B37" s="31">
        <v>5</v>
      </c>
      <c r="D37" s="35" t="b">
        <v>1</v>
      </c>
      <c r="E37" s="34" t="s">
        <v>77</v>
      </c>
      <c r="F37" s="31" t="s">
        <v>78</v>
      </c>
      <c r="H37" s="40">
        <v>45742</v>
      </c>
      <c r="I37" s="31" t="str">
        <f t="shared" ca="1" si="0"/>
        <v>●</v>
      </c>
      <c r="J37" s="31">
        <f t="shared" si="1"/>
        <v>35</v>
      </c>
    </row>
    <row r="38" spans="2:10" hidden="1">
      <c r="B38" s="31">
        <v>5</v>
      </c>
      <c r="D38" s="31" t="b">
        <v>1</v>
      </c>
      <c r="E38" s="34" t="s">
        <v>79</v>
      </c>
      <c r="F38" s="31" t="s">
        <v>80</v>
      </c>
      <c r="H38" s="40">
        <v>45742</v>
      </c>
      <c r="I38" s="31" t="str">
        <f t="shared" ca="1" si="0"/>
        <v>●</v>
      </c>
      <c r="J38" s="31">
        <f t="shared" si="1"/>
        <v>36</v>
      </c>
    </row>
    <row r="39" spans="2:10" hidden="1">
      <c r="B39" s="31">
        <v>5</v>
      </c>
      <c r="D39" s="31" t="b">
        <v>1</v>
      </c>
      <c r="E39" s="34" t="s">
        <v>81</v>
      </c>
      <c r="F39" s="31" t="s">
        <v>82</v>
      </c>
      <c r="H39" s="40">
        <v>45742</v>
      </c>
      <c r="I39" s="31" t="str">
        <f t="shared" ca="1" si="0"/>
        <v>●</v>
      </c>
      <c r="J39" s="31">
        <f t="shared" si="1"/>
        <v>37</v>
      </c>
    </row>
    <row r="40" spans="2:10" hidden="1">
      <c r="B40" s="31">
        <v>5</v>
      </c>
      <c r="D40" s="31" t="b">
        <v>1</v>
      </c>
      <c r="E40" s="34" t="s">
        <v>83</v>
      </c>
      <c r="F40" s="31" t="s">
        <v>84</v>
      </c>
      <c r="H40" s="40">
        <v>45742</v>
      </c>
      <c r="I40" s="31" t="str">
        <f t="shared" ca="1" si="0"/>
        <v>●</v>
      </c>
      <c r="J40" s="31">
        <f t="shared" si="1"/>
        <v>38</v>
      </c>
    </row>
    <row r="41" spans="2:10" hidden="1">
      <c r="B41" s="31">
        <v>5</v>
      </c>
      <c r="D41" s="31" t="b">
        <v>1</v>
      </c>
      <c r="E41" s="34" t="s">
        <v>85</v>
      </c>
      <c r="F41" s="31" t="s">
        <v>86</v>
      </c>
      <c r="H41" s="40">
        <v>45742</v>
      </c>
      <c r="I41" s="31" t="str">
        <f t="shared" ca="1" si="0"/>
        <v>●</v>
      </c>
      <c r="J41" s="31">
        <f t="shared" si="1"/>
        <v>39</v>
      </c>
    </row>
    <row r="42" spans="2:10" hidden="1">
      <c r="B42" s="31">
        <v>5</v>
      </c>
      <c r="D42" s="31" t="b">
        <v>1</v>
      </c>
      <c r="E42" s="34" t="s">
        <v>87</v>
      </c>
      <c r="F42" s="31" t="s">
        <v>88</v>
      </c>
      <c r="H42" s="40">
        <v>45742</v>
      </c>
      <c r="I42" s="31" t="str">
        <f t="shared" ca="1" si="0"/>
        <v>●</v>
      </c>
      <c r="J42" s="31">
        <f t="shared" si="1"/>
        <v>40</v>
      </c>
    </row>
    <row r="43" spans="2:10" hidden="1">
      <c r="B43" s="31">
        <v>5</v>
      </c>
      <c r="D43" s="31" t="b">
        <v>1</v>
      </c>
      <c r="E43" s="34" t="s">
        <v>89</v>
      </c>
      <c r="F43" s="31" t="s">
        <v>90</v>
      </c>
      <c r="H43" s="40">
        <v>45742</v>
      </c>
      <c r="I43" s="31" t="str">
        <f t="shared" ca="1" si="0"/>
        <v>●</v>
      </c>
      <c r="J43" s="31">
        <f t="shared" si="1"/>
        <v>41</v>
      </c>
    </row>
    <row r="44" spans="2:10" hidden="1">
      <c r="B44" s="31">
        <v>5</v>
      </c>
      <c r="D44" s="35" t="b">
        <v>1</v>
      </c>
      <c r="E44" s="34" t="s">
        <v>91</v>
      </c>
      <c r="F44" s="31" t="s">
        <v>92</v>
      </c>
      <c r="H44" s="40">
        <v>45742</v>
      </c>
      <c r="I44" s="31" t="str">
        <f t="shared" ca="1" si="0"/>
        <v>●</v>
      </c>
      <c r="J44" s="31">
        <f t="shared" si="1"/>
        <v>42</v>
      </c>
    </row>
    <row r="45" spans="2:10" hidden="1">
      <c r="B45" s="31">
        <v>5</v>
      </c>
      <c r="D45" s="35" t="b">
        <v>1</v>
      </c>
      <c r="E45" s="34" t="s">
        <v>93</v>
      </c>
      <c r="F45" s="31" t="s">
        <v>94</v>
      </c>
      <c r="H45" s="40">
        <v>45742</v>
      </c>
      <c r="I45" s="31" t="str">
        <f t="shared" ca="1" si="0"/>
        <v>●</v>
      </c>
      <c r="J45" s="31">
        <f t="shared" si="1"/>
        <v>43</v>
      </c>
    </row>
    <row r="46" spans="2:10" hidden="1">
      <c r="B46" s="31">
        <v>5</v>
      </c>
      <c r="D46" s="35" t="b">
        <v>1</v>
      </c>
      <c r="E46" s="34" t="s">
        <v>95</v>
      </c>
      <c r="F46" s="31" t="s">
        <v>96</v>
      </c>
      <c r="H46" s="40">
        <v>45742</v>
      </c>
      <c r="I46" s="31" t="str">
        <f t="shared" ca="1" si="0"/>
        <v>●</v>
      </c>
      <c r="J46" s="31">
        <f t="shared" si="1"/>
        <v>44</v>
      </c>
    </row>
    <row r="47" spans="2:10" hidden="1">
      <c r="B47" s="31">
        <v>5</v>
      </c>
      <c r="D47" s="35" t="b">
        <v>1</v>
      </c>
      <c r="E47" s="34" t="s">
        <v>97</v>
      </c>
      <c r="F47" s="31" t="s">
        <v>98</v>
      </c>
      <c r="H47" s="40">
        <v>45742</v>
      </c>
      <c r="I47" s="31" t="str">
        <f t="shared" ca="1" si="0"/>
        <v>●</v>
      </c>
      <c r="J47" s="31">
        <f t="shared" si="1"/>
        <v>45</v>
      </c>
    </row>
    <row r="48" spans="2:10" hidden="1">
      <c r="B48" s="31">
        <v>5</v>
      </c>
      <c r="D48" s="35" t="b">
        <v>1</v>
      </c>
      <c r="E48" s="34" t="s">
        <v>99</v>
      </c>
      <c r="F48" s="31" t="s">
        <v>100</v>
      </c>
      <c r="H48" s="40">
        <v>45742</v>
      </c>
      <c r="I48" s="31" t="str">
        <f t="shared" ca="1" si="0"/>
        <v>●</v>
      </c>
      <c r="J48" s="31">
        <f t="shared" si="1"/>
        <v>46</v>
      </c>
    </row>
    <row r="49" spans="2:10" hidden="1">
      <c r="B49" s="31">
        <v>5</v>
      </c>
      <c r="D49" s="35" t="b">
        <v>1</v>
      </c>
      <c r="E49" s="34" t="s">
        <v>101</v>
      </c>
      <c r="F49" s="31" t="s">
        <v>102</v>
      </c>
      <c r="H49" s="40">
        <v>45742</v>
      </c>
      <c r="I49" s="31" t="str">
        <f t="shared" ca="1" si="0"/>
        <v>●</v>
      </c>
      <c r="J49" s="31">
        <f t="shared" si="1"/>
        <v>47</v>
      </c>
    </row>
    <row r="50" spans="2:10" hidden="1">
      <c r="B50" s="31">
        <v>5</v>
      </c>
      <c r="D50" s="35" t="b">
        <v>1</v>
      </c>
      <c r="E50" s="34" t="s">
        <v>46</v>
      </c>
      <c r="F50" s="31" t="s">
        <v>103</v>
      </c>
      <c r="H50" s="40">
        <v>45742</v>
      </c>
      <c r="I50" s="31" t="str">
        <f t="shared" ca="1" si="0"/>
        <v>●</v>
      </c>
      <c r="J50" s="31">
        <f t="shared" si="1"/>
        <v>48</v>
      </c>
    </row>
    <row r="51" spans="2:10" hidden="1">
      <c r="B51" s="31">
        <v>5</v>
      </c>
      <c r="D51" s="35" t="b">
        <v>1</v>
      </c>
      <c r="E51" s="34" t="s">
        <v>104</v>
      </c>
      <c r="F51" s="31" t="s">
        <v>105</v>
      </c>
      <c r="H51" s="40">
        <v>45742</v>
      </c>
      <c r="I51" s="31" t="str">
        <f t="shared" ca="1" si="0"/>
        <v>●</v>
      </c>
      <c r="J51" s="31">
        <f t="shared" si="1"/>
        <v>49</v>
      </c>
    </row>
    <row r="52" spans="2:10" hidden="1">
      <c r="B52" s="31">
        <v>5</v>
      </c>
      <c r="D52" s="35" t="b">
        <v>1</v>
      </c>
      <c r="E52" s="34" t="s">
        <v>106</v>
      </c>
      <c r="F52" s="31" t="s">
        <v>107</v>
      </c>
      <c r="H52" s="40">
        <v>45742</v>
      </c>
      <c r="I52" s="31" t="str">
        <f t="shared" ca="1" si="0"/>
        <v>●</v>
      </c>
      <c r="J52" s="31">
        <f t="shared" si="1"/>
        <v>50</v>
      </c>
    </row>
    <row r="53" spans="2:10" hidden="1">
      <c r="B53" s="31">
        <v>5</v>
      </c>
      <c r="D53" s="35" t="b">
        <v>1</v>
      </c>
      <c r="E53" s="34" t="s">
        <v>108</v>
      </c>
      <c r="F53" s="31" t="s">
        <v>109</v>
      </c>
      <c r="H53" s="40">
        <v>45742</v>
      </c>
      <c r="I53" s="31" t="str">
        <f t="shared" ca="1" si="0"/>
        <v>●</v>
      </c>
      <c r="J53" s="31">
        <f t="shared" si="1"/>
        <v>51</v>
      </c>
    </row>
    <row r="54" spans="2:10" hidden="1">
      <c r="B54" s="31">
        <v>5</v>
      </c>
      <c r="D54" s="35" t="b">
        <v>1</v>
      </c>
      <c r="E54" s="34" t="s">
        <v>110</v>
      </c>
      <c r="F54" s="31" t="s">
        <v>111</v>
      </c>
      <c r="H54" s="40">
        <v>45742</v>
      </c>
      <c r="I54" s="31" t="str">
        <f t="shared" ca="1" si="0"/>
        <v>●</v>
      </c>
      <c r="J54" s="31">
        <f t="shared" si="1"/>
        <v>52</v>
      </c>
    </row>
    <row r="55" spans="2:10" hidden="1">
      <c r="B55" s="31">
        <v>5</v>
      </c>
      <c r="D55" s="35" t="b">
        <v>1</v>
      </c>
      <c r="E55" s="34" t="s">
        <v>112</v>
      </c>
      <c r="F55" s="31" t="s">
        <v>113</v>
      </c>
      <c r="H55" s="40">
        <v>45742</v>
      </c>
      <c r="I55" s="31" t="str">
        <f t="shared" ca="1" si="0"/>
        <v>●</v>
      </c>
      <c r="J55" s="31">
        <f t="shared" si="1"/>
        <v>53</v>
      </c>
    </row>
    <row r="56" spans="2:10" hidden="1">
      <c r="B56" s="31">
        <v>5</v>
      </c>
      <c r="D56" s="35" t="b">
        <v>1</v>
      </c>
      <c r="E56" s="34" t="s">
        <v>114</v>
      </c>
      <c r="F56" s="31" t="s">
        <v>115</v>
      </c>
      <c r="H56" s="40">
        <v>45742</v>
      </c>
      <c r="I56" s="31" t="str">
        <f t="shared" ca="1" si="0"/>
        <v>●</v>
      </c>
      <c r="J56" s="31">
        <f t="shared" si="1"/>
        <v>54</v>
      </c>
    </row>
    <row r="57" spans="2:10" hidden="1">
      <c r="B57" s="35">
        <v>5</v>
      </c>
      <c r="C57" s="31" t="s">
        <v>116</v>
      </c>
      <c r="D57" s="35" t="b">
        <v>1</v>
      </c>
      <c r="E57" s="34" t="s">
        <v>117</v>
      </c>
      <c r="F57" s="31" t="s">
        <v>118</v>
      </c>
      <c r="H57" s="40">
        <v>45722</v>
      </c>
      <c r="I57" s="31" t="str">
        <f t="shared" ref="I57:I120" ca="1" si="2">IF(H57-$G$1&lt;=0,"●","")</f>
        <v>●</v>
      </c>
      <c r="J57" s="31">
        <f t="shared" ref="J57:J120" si="3">ROW()-2</f>
        <v>55</v>
      </c>
    </row>
    <row r="58" spans="2:10" hidden="1">
      <c r="B58" s="31">
        <v>5</v>
      </c>
      <c r="D58" s="35" t="b">
        <v>1</v>
      </c>
      <c r="E58" s="34" t="s">
        <v>119</v>
      </c>
      <c r="F58" s="31" t="s">
        <v>120</v>
      </c>
      <c r="H58" s="40">
        <v>45742</v>
      </c>
      <c r="I58" s="31" t="str">
        <f t="shared" ca="1" si="2"/>
        <v>●</v>
      </c>
      <c r="J58" s="31">
        <f t="shared" si="3"/>
        <v>56</v>
      </c>
    </row>
    <row r="59" spans="2:10" hidden="1">
      <c r="B59" s="35">
        <v>5</v>
      </c>
      <c r="C59" s="31" t="s">
        <v>116</v>
      </c>
      <c r="D59" s="35" t="b">
        <v>1</v>
      </c>
      <c r="E59" s="34" t="s">
        <v>121</v>
      </c>
      <c r="F59" s="31" t="s">
        <v>122</v>
      </c>
      <c r="H59" s="40">
        <v>45722</v>
      </c>
      <c r="I59" s="31" t="str">
        <f t="shared" ca="1" si="2"/>
        <v>●</v>
      </c>
      <c r="J59" s="31">
        <f t="shared" si="3"/>
        <v>57</v>
      </c>
    </row>
    <row r="60" spans="2:10" hidden="1">
      <c r="B60" s="31">
        <v>5</v>
      </c>
      <c r="D60" s="35" t="b">
        <v>1</v>
      </c>
      <c r="E60" s="34" t="s">
        <v>123</v>
      </c>
      <c r="F60" s="31" t="s">
        <v>124</v>
      </c>
      <c r="H60" s="40">
        <v>45742</v>
      </c>
      <c r="I60" s="31" t="str">
        <f t="shared" ca="1" si="2"/>
        <v>●</v>
      </c>
      <c r="J60" s="31">
        <f t="shared" si="3"/>
        <v>58</v>
      </c>
    </row>
    <row r="61" spans="2:10" hidden="1">
      <c r="B61" s="31">
        <v>5</v>
      </c>
      <c r="D61" s="35" t="b">
        <v>1</v>
      </c>
      <c r="E61" s="34" t="s">
        <v>125</v>
      </c>
      <c r="F61" s="31" t="s">
        <v>126</v>
      </c>
      <c r="H61" s="40">
        <v>45742</v>
      </c>
      <c r="I61" s="31" t="str">
        <f t="shared" ca="1" si="2"/>
        <v>●</v>
      </c>
      <c r="J61" s="31">
        <f t="shared" si="3"/>
        <v>59</v>
      </c>
    </row>
    <row r="62" spans="2:10" hidden="1">
      <c r="B62" s="31">
        <v>5</v>
      </c>
      <c r="D62" s="35" t="b">
        <v>1</v>
      </c>
      <c r="E62" s="34" t="s">
        <v>127</v>
      </c>
      <c r="F62" s="31" t="s">
        <v>128</v>
      </c>
      <c r="H62" s="40">
        <v>45742</v>
      </c>
      <c r="I62" s="31" t="str">
        <f t="shared" ca="1" si="2"/>
        <v>●</v>
      </c>
      <c r="J62" s="31">
        <f t="shared" si="3"/>
        <v>60</v>
      </c>
    </row>
    <row r="63" spans="2:10" hidden="1">
      <c r="B63" s="31">
        <v>5</v>
      </c>
      <c r="D63" s="35" t="b">
        <v>1</v>
      </c>
      <c r="E63" s="34" t="s">
        <v>129</v>
      </c>
      <c r="F63" s="31" t="s">
        <v>130</v>
      </c>
      <c r="H63" s="40">
        <v>45742</v>
      </c>
      <c r="I63" s="31" t="str">
        <f t="shared" ca="1" si="2"/>
        <v>●</v>
      </c>
      <c r="J63" s="31">
        <f t="shared" si="3"/>
        <v>61</v>
      </c>
    </row>
    <row r="64" spans="2:10" hidden="1">
      <c r="B64" s="31">
        <v>5</v>
      </c>
      <c r="D64" s="35" t="b">
        <v>1</v>
      </c>
      <c r="E64" s="34" t="s">
        <v>131</v>
      </c>
      <c r="F64" s="31" t="s">
        <v>132</v>
      </c>
      <c r="H64" s="40">
        <v>45742</v>
      </c>
      <c r="I64" s="31" t="str">
        <f t="shared" ca="1" si="2"/>
        <v>●</v>
      </c>
      <c r="J64" s="31">
        <f t="shared" si="3"/>
        <v>62</v>
      </c>
    </row>
    <row r="65" spans="2:10" hidden="1">
      <c r="B65" s="31">
        <v>5</v>
      </c>
      <c r="D65" s="35" t="b">
        <v>1</v>
      </c>
      <c r="E65" s="34" t="s">
        <v>133</v>
      </c>
      <c r="F65" s="31" t="s">
        <v>134</v>
      </c>
      <c r="H65" s="40">
        <v>45742</v>
      </c>
      <c r="I65" s="31" t="str">
        <f t="shared" ca="1" si="2"/>
        <v>●</v>
      </c>
      <c r="J65" s="31">
        <f t="shared" si="3"/>
        <v>63</v>
      </c>
    </row>
    <row r="66" spans="2:10" hidden="1">
      <c r="B66" s="31">
        <v>5</v>
      </c>
      <c r="D66" s="35" t="b">
        <v>1</v>
      </c>
      <c r="E66" s="34" t="s">
        <v>135</v>
      </c>
      <c r="F66" s="31" t="s">
        <v>136</v>
      </c>
      <c r="H66" s="40">
        <v>45742</v>
      </c>
      <c r="I66" s="31" t="str">
        <f t="shared" ca="1" si="2"/>
        <v>●</v>
      </c>
      <c r="J66" s="31">
        <f t="shared" si="3"/>
        <v>64</v>
      </c>
    </row>
    <row r="67" spans="2:10" hidden="1">
      <c r="B67" s="35">
        <v>5</v>
      </c>
      <c r="C67" s="31" t="s">
        <v>116</v>
      </c>
      <c r="D67" s="35" t="b">
        <v>1</v>
      </c>
      <c r="E67" s="34" t="s">
        <v>137</v>
      </c>
      <c r="F67" s="31" t="s">
        <v>138</v>
      </c>
      <c r="H67" s="40">
        <v>45722</v>
      </c>
      <c r="I67" s="31" t="str">
        <f t="shared" ca="1" si="2"/>
        <v>●</v>
      </c>
      <c r="J67" s="31">
        <f t="shared" si="3"/>
        <v>65</v>
      </c>
    </row>
    <row r="68" spans="2:10" hidden="1">
      <c r="B68" s="35">
        <v>5</v>
      </c>
      <c r="C68" s="31" t="s">
        <v>116</v>
      </c>
      <c r="D68" s="35" t="b">
        <v>1</v>
      </c>
      <c r="E68" s="34" t="s">
        <v>139</v>
      </c>
      <c r="F68" s="31" t="s">
        <v>140</v>
      </c>
      <c r="H68" s="40">
        <v>45722</v>
      </c>
      <c r="I68" s="31" t="str">
        <f t="shared" ca="1" si="2"/>
        <v>●</v>
      </c>
      <c r="J68" s="31">
        <f t="shared" si="3"/>
        <v>66</v>
      </c>
    </row>
    <row r="69" spans="2:10" hidden="1">
      <c r="B69" s="35">
        <v>5</v>
      </c>
      <c r="C69" s="31" t="s">
        <v>116</v>
      </c>
      <c r="D69" s="35" t="b">
        <v>1</v>
      </c>
      <c r="E69" s="34" t="s">
        <v>141</v>
      </c>
      <c r="F69" s="31" t="s">
        <v>142</v>
      </c>
      <c r="H69" s="40">
        <v>45722</v>
      </c>
      <c r="I69" s="31" t="str">
        <f t="shared" ca="1" si="2"/>
        <v>●</v>
      </c>
      <c r="J69" s="31">
        <f t="shared" si="3"/>
        <v>67</v>
      </c>
    </row>
    <row r="70" spans="2:10" hidden="1">
      <c r="B70" s="31">
        <v>5</v>
      </c>
      <c r="D70" s="35" t="b">
        <v>1</v>
      </c>
      <c r="E70" s="34" t="s">
        <v>143</v>
      </c>
      <c r="F70" s="31" t="s">
        <v>144</v>
      </c>
      <c r="H70" s="40">
        <v>45742</v>
      </c>
      <c r="I70" s="31" t="str">
        <f t="shared" ca="1" si="2"/>
        <v>●</v>
      </c>
      <c r="J70" s="31">
        <f t="shared" si="3"/>
        <v>68</v>
      </c>
    </row>
    <row r="71" spans="2:10" hidden="1">
      <c r="B71" s="31">
        <v>5</v>
      </c>
      <c r="D71" s="35" t="b">
        <v>1</v>
      </c>
      <c r="E71" s="34" t="s">
        <v>145</v>
      </c>
      <c r="F71" s="31" t="s">
        <v>146</v>
      </c>
      <c r="H71" s="40">
        <v>45742</v>
      </c>
      <c r="I71" s="31" t="str">
        <f t="shared" ca="1" si="2"/>
        <v>●</v>
      </c>
      <c r="J71" s="31">
        <f t="shared" si="3"/>
        <v>69</v>
      </c>
    </row>
    <row r="72" spans="2:10" hidden="1">
      <c r="B72" s="31">
        <v>5</v>
      </c>
      <c r="D72" s="35" t="b">
        <v>1</v>
      </c>
      <c r="E72" s="34" t="s">
        <v>147</v>
      </c>
      <c r="F72" s="31" t="s">
        <v>148</v>
      </c>
      <c r="H72" s="40">
        <v>45742</v>
      </c>
      <c r="I72" s="31" t="str">
        <f t="shared" ca="1" si="2"/>
        <v>●</v>
      </c>
      <c r="J72" s="31">
        <f t="shared" si="3"/>
        <v>70</v>
      </c>
    </row>
    <row r="73" spans="2:10" hidden="1">
      <c r="B73" s="35">
        <v>5</v>
      </c>
      <c r="C73" s="31" t="s">
        <v>116</v>
      </c>
      <c r="D73" s="35" t="b">
        <v>1</v>
      </c>
      <c r="E73" s="34" t="s">
        <v>149</v>
      </c>
      <c r="F73" s="31" t="s">
        <v>150</v>
      </c>
      <c r="H73" s="40">
        <v>45722</v>
      </c>
      <c r="I73" s="31" t="str">
        <f t="shared" ca="1" si="2"/>
        <v>●</v>
      </c>
      <c r="J73" s="31">
        <f t="shared" si="3"/>
        <v>71</v>
      </c>
    </row>
    <row r="74" spans="2:10" hidden="1">
      <c r="B74" s="31">
        <v>5</v>
      </c>
      <c r="D74" s="35" t="b">
        <v>1</v>
      </c>
      <c r="E74" s="34" t="s">
        <v>151</v>
      </c>
      <c r="F74" s="31" t="s">
        <v>152</v>
      </c>
      <c r="H74" s="40">
        <v>45742</v>
      </c>
      <c r="I74" s="31" t="str">
        <f t="shared" ca="1" si="2"/>
        <v>●</v>
      </c>
      <c r="J74" s="31">
        <f t="shared" si="3"/>
        <v>72</v>
      </c>
    </row>
    <row r="75" spans="2:10" hidden="1">
      <c r="B75" s="31">
        <v>5</v>
      </c>
      <c r="D75" s="35" t="b">
        <v>1</v>
      </c>
      <c r="E75" s="34" t="s">
        <v>153</v>
      </c>
      <c r="F75" s="31" t="s">
        <v>154</v>
      </c>
      <c r="H75" s="40">
        <v>45742</v>
      </c>
      <c r="I75" s="31" t="str">
        <f t="shared" ca="1" si="2"/>
        <v>●</v>
      </c>
      <c r="J75" s="31">
        <f t="shared" si="3"/>
        <v>73</v>
      </c>
    </row>
    <row r="76" spans="2:10" hidden="1">
      <c r="B76" s="31">
        <v>5</v>
      </c>
      <c r="D76" s="35" t="b">
        <v>1</v>
      </c>
      <c r="E76" s="34" t="s">
        <v>155</v>
      </c>
      <c r="F76" s="31" t="s">
        <v>156</v>
      </c>
      <c r="H76" s="40">
        <v>45742</v>
      </c>
      <c r="I76" s="31" t="str">
        <f t="shared" ca="1" si="2"/>
        <v>●</v>
      </c>
      <c r="J76" s="31">
        <f t="shared" si="3"/>
        <v>74</v>
      </c>
    </row>
    <row r="77" spans="2:10" hidden="1">
      <c r="B77" s="35">
        <v>5</v>
      </c>
      <c r="C77" s="31" t="s">
        <v>116</v>
      </c>
      <c r="D77" s="35" t="b">
        <v>1</v>
      </c>
      <c r="E77" s="34" t="s">
        <v>157</v>
      </c>
      <c r="F77" s="31" t="s">
        <v>158</v>
      </c>
      <c r="H77" s="40">
        <v>45722</v>
      </c>
      <c r="I77" s="31" t="str">
        <f t="shared" ca="1" si="2"/>
        <v>●</v>
      </c>
      <c r="J77" s="31">
        <f t="shared" si="3"/>
        <v>75</v>
      </c>
    </row>
    <row r="78" spans="2:10" hidden="1">
      <c r="B78" s="31">
        <v>5</v>
      </c>
      <c r="D78" s="35" t="b">
        <v>1</v>
      </c>
      <c r="E78" s="34" t="s">
        <v>159</v>
      </c>
      <c r="F78" s="31" t="s">
        <v>160</v>
      </c>
      <c r="H78" s="40">
        <v>45742</v>
      </c>
      <c r="I78" s="31" t="str">
        <f t="shared" ca="1" si="2"/>
        <v>●</v>
      </c>
      <c r="J78" s="31">
        <f t="shared" si="3"/>
        <v>76</v>
      </c>
    </row>
    <row r="79" spans="2:10" hidden="1">
      <c r="B79" s="31">
        <v>5</v>
      </c>
      <c r="D79" s="35" t="b">
        <v>1</v>
      </c>
      <c r="E79" s="34" t="s">
        <v>161</v>
      </c>
      <c r="F79" s="31" t="s">
        <v>162</v>
      </c>
      <c r="H79" s="40">
        <v>45742</v>
      </c>
      <c r="I79" s="31" t="str">
        <f t="shared" ca="1" si="2"/>
        <v>●</v>
      </c>
      <c r="J79" s="31">
        <f t="shared" si="3"/>
        <v>77</v>
      </c>
    </row>
    <row r="80" spans="2:10" hidden="1">
      <c r="B80" s="35">
        <v>5</v>
      </c>
      <c r="C80" s="31" t="s">
        <v>116</v>
      </c>
      <c r="D80" s="35" t="b">
        <v>1</v>
      </c>
      <c r="E80" s="34" t="s">
        <v>163</v>
      </c>
      <c r="F80" s="31" t="s">
        <v>164</v>
      </c>
      <c r="H80" s="40">
        <v>45722</v>
      </c>
      <c r="I80" s="31" t="str">
        <f t="shared" ca="1" si="2"/>
        <v>●</v>
      </c>
      <c r="J80" s="31">
        <f t="shared" si="3"/>
        <v>78</v>
      </c>
    </row>
    <row r="81" spans="2:10" hidden="1">
      <c r="B81" s="35">
        <v>5</v>
      </c>
      <c r="C81" s="31" t="s">
        <v>116</v>
      </c>
      <c r="D81" s="35" t="b">
        <v>1</v>
      </c>
      <c r="E81" s="34" t="s">
        <v>165</v>
      </c>
      <c r="F81" s="31" t="s">
        <v>166</v>
      </c>
      <c r="H81" s="40">
        <v>45722</v>
      </c>
      <c r="I81" s="31" t="str">
        <f t="shared" ca="1" si="2"/>
        <v>●</v>
      </c>
      <c r="J81" s="31">
        <f t="shared" si="3"/>
        <v>79</v>
      </c>
    </row>
    <row r="82" spans="2:10" hidden="1">
      <c r="B82" s="31">
        <v>5</v>
      </c>
      <c r="D82" s="35" t="b">
        <v>1</v>
      </c>
      <c r="E82" s="34" t="s">
        <v>167</v>
      </c>
      <c r="F82" s="31" t="s">
        <v>168</v>
      </c>
      <c r="H82" s="40">
        <v>45742</v>
      </c>
      <c r="I82" s="31" t="str">
        <f t="shared" ca="1" si="2"/>
        <v>●</v>
      </c>
      <c r="J82" s="31">
        <f t="shared" si="3"/>
        <v>80</v>
      </c>
    </row>
    <row r="83" spans="2:10" hidden="1">
      <c r="B83" s="35">
        <v>5</v>
      </c>
      <c r="C83" s="31" t="s">
        <v>116</v>
      </c>
      <c r="D83" s="35" t="b">
        <v>1</v>
      </c>
      <c r="E83" s="34" t="s">
        <v>169</v>
      </c>
      <c r="F83" s="31" t="s">
        <v>170</v>
      </c>
      <c r="H83" s="40">
        <v>45722</v>
      </c>
      <c r="I83" s="31" t="str">
        <f t="shared" ca="1" si="2"/>
        <v>●</v>
      </c>
      <c r="J83" s="31">
        <f t="shared" si="3"/>
        <v>81</v>
      </c>
    </row>
    <row r="84" spans="2:10" hidden="1">
      <c r="B84" s="31">
        <v>5</v>
      </c>
      <c r="D84" s="31" t="b">
        <v>1</v>
      </c>
      <c r="E84" s="34" t="s">
        <v>171</v>
      </c>
      <c r="F84" s="31" t="s">
        <v>172</v>
      </c>
      <c r="G84" s="31" t="s">
        <v>173</v>
      </c>
      <c r="H84" s="40">
        <v>45748</v>
      </c>
      <c r="I84" s="31" t="str">
        <f t="shared" ca="1" si="2"/>
        <v/>
      </c>
      <c r="J84" s="31">
        <f t="shared" si="3"/>
        <v>82</v>
      </c>
    </row>
    <row r="85" spans="2:10" hidden="1">
      <c r="B85" s="31">
        <v>5</v>
      </c>
      <c r="D85" s="31" t="b">
        <v>1</v>
      </c>
      <c r="E85" s="34" t="s">
        <v>58</v>
      </c>
      <c r="F85" s="31" t="s">
        <v>174</v>
      </c>
      <c r="H85" s="40">
        <v>45748</v>
      </c>
      <c r="I85" s="31" t="str">
        <f t="shared" ca="1" si="2"/>
        <v/>
      </c>
      <c r="J85" s="31">
        <f t="shared" si="3"/>
        <v>83</v>
      </c>
    </row>
    <row r="86" spans="2:10" hidden="1">
      <c r="B86" s="31">
        <v>5</v>
      </c>
      <c r="D86" s="31" t="b">
        <v>1</v>
      </c>
      <c r="E86" s="34" t="s">
        <v>175</v>
      </c>
      <c r="F86" s="31" t="s">
        <v>176</v>
      </c>
      <c r="H86" s="40">
        <v>45748</v>
      </c>
      <c r="I86" s="31" t="str">
        <f t="shared" ca="1" si="2"/>
        <v/>
      </c>
      <c r="J86" s="31">
        <f t="shared" si="3"/>
        <v>84</v>
      </c>
    </row>
    <row r="87" spans="2:10" hidden="1">
      <c r="B87" s="31">
        <v>5</v>
      </c>
      <c r="D87" s="31" t="b">
        <v>1</v>
      </c>
      <c r="E87" s="34" t="s">
        <v>177</v>
      </c>
      <c r="F87" s="31" t="s">
        <v>178</v>
      </c>
      <c r="G87" s="31" t="s">
        <v>179</v>
      </c>
      <c r="H87" s="40">
        <v>45748</v>
      </c>
      <c r="I87" s="31" t="str">
        <f t="shared" ca="1" si="2"/>
        <v/>
      </c>
      <c r="J87" s="31">
        <f t="shared" si="3"/>
        <v>85</v>
      </c>
    </row>
    <row r="88" spans="2:10" hidden="1">
      <c r="B88" s="31">
        <v>5</v>
      </c>
      <c r="D88" s="31" t="b">
        <v>1</v>
      </c>
      <c r="E88" s="34" t="s">
        <v>180</v>
      </c>
      <c r="F88" s="31" t="s">
        <v>181</v>
      </c>
      <c r="H88" s="40">
        <v>45748</v>
      </c>
      <c r="I88" s="31" t="str">
        <f t="shared" ca="1" si="2"/>
        <v/>
      </c>
      <c r="J88" s="31">
        <f t="shared" si="3"/>
        <v>86</v>
      </c>
    </row>
    <row r="89" spans="2:10" hidden="1">
      <c r="B89" s="31">
        <v>5</v>
      </c>
      <c r="D89" s="31" t="b">
        <v>1</v>
      </c>
      <c r="E89" s="34" t="s">
        <v>182</v>
      </c>
      <c r="F89" s="31" t="s">
        <v>183</v>
      </c>
      <c r="H89" s="40">
        <v>45748</v>
      </c>
      <c r="I89" s="31" t="str">
        <f t="shared" ca="1" si="2"/>
        <v/>
      </c>
      <c r="J89" s="31">
        <f t="shared" si="3"/>
        <v>87</v>
      </c>
    </row>
    <row r="90" spans="2:10" hidden="1">
      <c r="B90" s="31">
        <v>5</v>
      </c>
      <c r="D90" s="31" t="b">
        <v>1</v>
      </c>
      <c r="E90" s="34" t="s">
        <v>184</v>
      </c>
      <c r="F90" s="31" t="s">
        <v>185</v>
      </c>
      <c r="H90" s="40">
        <v>45748</v>
      </c>
      <c r="I90" s="31" t="str">
        <f t="shared" ca="1" si="2"/>
        <v/>
      </c>
      <c r="J90" s="31">
        <f t="shared" si="3"/>
        <v>88</v>
      </c>
    </row>
    <row r="91" spans="2:10" hidden="1">
      <c r="B91" s="31">
        <v>5</v>
      </c>
      <c r="D91" s="31" t="b">
        <v>1</v>
      </c>
      <c r="E91" s="34" t="s">
        <v>186</v>
      </c>
      <c r="F91" s="31" t="s">
        <v>187</v>
      </c>
      <c r="H91" s="40">
        <v>45748</v>
      </c>
      <c r="I91" s="31" t="str">
        <f t="shared" ca="1" si="2"/>
        <v/>
      </c>
      <c r="J91" s="31">
        <f t="shared" si="3"/>
        <v>89</v>
      </c>
    </row>
    <row r="92" spans="2:10" hidden="1">
      <c r="B92" s="31">
        <v>5</v>
      </c>
      <c r="D92" s="31" t="b">
        <v>1</v>
      </c>
      <c r="E92" s="34" t="s">
        <v>188</v>
      </c>
      <c r="F92" s="31" t="s">
        <v>189</v>
      </c>
      <c r="H92" s="40">
        <v>45748</v>
      </c>
      <c r="I92" s="31" t="str">
        <f t="shared" ca="1" si="2"/>
        <v/>
      </c>
      <c r="J92" s="31">
        <f t="shared" si="3"/>
        <v>90</v>
      </c>
    </row>
    <row r="93" spans="2:10" hidden="1">
      <c r="B93" s="31">
        <v>5</v>
      </c>
      <c r="D93" s="31" t="b">
        <v>1</v>
      </c>
      <c r="E93" s="34" t="s">
        <v>190</v>
      </c>
      <c r="F93" s="31" t="s">
        <v>191</v>
      </c>
      <c r="H93" s="40">
        <v>45748</v>
      </c>
      <c r="I93" s="31" t="str">
        <f t="shared" ca="1" si="2"/>
        <v/>
      </c>
      <c r="J93" s="31">
        <f t="shared" si="3"/>
        <v>91</v>
      </c>
    </row>
    <row r="94" spans="2:10" hidden="1">
      <c r="B94" s="31">
        <v>5</v>
      </c>
      <c r="D94" s="31" t="b">
        <v>1</v>
      </c>
      <c r="E94" s="34" t="s">
        <v>192</v>
      </c>
      <c r="F94" s="31" t="s">
        <v>193</v>
      </c>
      <c r="G94" s="31" t="s">
        <v>194</v>
      </c>
      <c r="H94" s="40">
        <v>45748</v>
      </c>
      <c r="I94" s="31" t="str">
        <f t="shared" ca="1" si="2"/>
        <v/>
      </c>
      <c r="J94" s="31">
        <f t="shared" si="3"/>
        <v>92</v>
      </c>
    </row>
    <row r="95" spans="2:10" hidden="1">
      <c r="B95" s="31">
        <v>5</v>
      </c>
      <c r="D95" s="31" t="b">
        <v>1</v>
      </c>
      <c r="E95" s="34" t="s">
        <v>195</v>
      </c>
      <c r="F95" s="31" t="s">
        <v>196</v>
      </c>
      <c r="G95" s="31" t="s">
        <v>197</v>
      </c>
      <c r="H95" s="40">
        <v>45748</v>
      </c>
      <c r="I95" s="31" t="str">
        <f t="shared" ca="1" si="2"/>
        <v/>
      </c>
      <c r="J95" s="31">
        <f t="shared" si="3"/>
        <v>93</v>
      </c>
    </row>
    <row r="96" spans="2:10" hidden="1">
      <c r="B96" s="31">
        <v>5</v>
      </c>
      <c r="D96" s="31" t="b">
        <v>1</v>
      </c>
      <c r="E96" s="34" t="s">
        <v>198</v>
      </c>
      <c r="F96" s="31" t="s">
        <v>199</v>
      </c>
      <c r="H96" s="40">
        <v>45748</v>
      </c>
      <c r="I96" s="31" t="str">
        <f t="shared" ca="1" si="2"/>
        <v/>
      </c>
      <c r="J96" s="31">
        <f t="shared" si="3"/>
        <v>94</v>
      </c>
    </row>
    <row r="97" spans="2:10" hidden="1">
      <c r="B97" s="31">
        <v>5</v>
      </c>
      <c r="D97" s="31" t="b">
        <v>1</v>
      </c>
      <c r="E97" s="34" t="s">
        <v>200</v>
      </c>
      <c r="F97" s="31" t="s">
        <v>201</v>
      </c>
      <c r="G97" s="31" t="s">
        <v>202</v>
      </c>
      <c r="H97" s="40">
        <v>45748</v>
      </c>
      <c r="I97" s="31" t="str">
        <f t="shared" ca="1" si="2"/>
        <v/>
      </c>
      <c r="J97" s="31">
        <f t="shared" si="3"/>
        <v>95</v>
      </c>
    </row>
    <row r="98" spans="2:10" hidden="1">
      <c r="B98" s="31">
        <v>5</v>
      </c>
      <c r="D98" s="31" t="b">
        <v>1</v>
      </c>
      <c r="E98" s="34" t="s">
        <v>203</v>
      </c>
      <c r="F98" s="31" t="s">
        <v>204</v>
      </c>
      <c r="G98" s="31" t="s">
        <v>205</v>
      </c>
      <c r="H98" s="40">
        <v>45748</v>
      </c>
      <c r="I98" s="31" t="str">
        <f t="shared" ca="1" si="2"/>
        <v/>
      </c>
      <c r="J98" s="31">
        <f t="shared" si="3"/>
        <v>96</v>
      </c>
    </row>
    <row r="99" spans="2:10" hidden="1">
      <c r="B99" s="31">
        <v>5</v>
      </c>
      <c r="D99" s="31" t="b">
        <v>1</v>
      </c>
      <c r="E99" s="34" t="s">
        <v>206</v>
      </c>
      <c r="F99" s="31" t="s">
        <v>207</v>
      </c>
      <c r="H99" s="40">
        <v>45748</v>
      </c>
      <c r="I99" s="31" t="str">
        <f t="shared" ca="1" si="2"/>
        <v/>
      </c>
      <c r="J99" s="31">
        <f t="shared" si="3"/>
        <v>97</v>
      </c>
    </row>
    <row r="100" spans="2:10" hidden="1">
      <c r="B100" s="31">
        <v>5</v>
      </c>
      <c r="D100" s="31" t="b">
        <v>1</v>
      </c>
      <c r="E100" s="34" t="s">
        <v>208</v>
      </c>
      <c r="F100" s="31" t="s">
        <v>209</v>
      </c>
      <c r="G100" s="31" t="s">
        <v>210</v>
      </c>
      <c r="H100" s="40">
        <v>45748</v>
      </c>
      <c r="I100" s="31" t="str">
        <f t="shared" ca="1" si="2"/>
        <v/>
      </c>
      <c r="J100" s="31">
        <f t="shared" si="3"/>
        <v>98</v>
      </c>
    </row>
    <row r="101" spans="2:10" hidden="1">
      <c r="B101" s="31">
        <v>5</v>
      </c>
      <c r="D101" s="31" t="b">
        <v>1</v>
      </c>
      <c r="E101" s="34" t="s">
        <v>211</v>
      </c>
      <c r="F101" s="31" t="s">
        <v>212</v>
      </c>
      <c r="G101" s="31" t="s">
        <v>213</v>
      </c>
      <c r="H101" s="40">
        <v>45748</v>
      </c>
      <c r="I101" s="31" t="str">
        <f t="shared" ca="1" si="2"/>
        <v/>
      </c>
      <c r="J101" s="31">
        <f t="shared" si="3"/>
        <v>99</v>
      </c>
    </row>
    <row r="102" spans="2:10" hidden="1">
      <c r="B102" s="31">
        <v>5</v>
      </c>
      <c r="D102" s="31" t="b">
        <v>1</v>
      </c>
      <c r="E102" s="34" t="s">
        <v>214</v>
      </c>
      <c r="F102" s="31" t="s">
        <v>215</v>
      </c>
      <c r="G102" s="31" t="s">
        <v>216</v>
      </c>
      <c r="H102" s="40">
        <v>45748</v>
      </c>
      <c r="I102" s="31" t="str">
        <f t="shared" ca="1" si="2"/>
        <v/>
      </c>
      <c r="J102" s="31">
        <f t="shared" si="3"/>
        <v>100</v>
      </c>
    </row>
    <row r="103" spans="2:10" hidden="1">
      <c r="B103" s="31">
        <v>5</v>
      </c>
      <c r="D103" s="31" t="b">
        <v>1</v>
      </c>
      <c r="E103" s="34" t="s">
        <v>217</v>
      </c>
      <c r="F103" s="31" t="s">
        <v>218</v>
      </c>
      <c r="G103" s="31" t="s">
        <v>219</v>
      </c>
      <c r="H103" s="40">
        <v>45748</v>
      </c>
      <c r="I103" s="31" t="str">
        <f t="shared" ca="1" si="2"/>
        <v/>
      </c>
      <c r="J103" s="31">
        <f t="shared" si="3"/>
        <v>101</v>
      </c>
    </row>
    <row r="104" spans="2:10" hidden="1">
      <c r="B104" s="31">
        <v>5</v>
      </c>
      <c r="D104" s="31" t="b">
        <v>1</v>
      </c>
      <c r="E104" s="34" t="s">
        <v>220</v>
      </c>
      <c r="F104" s="31" t="s">
        <v>221</v>
      </c>
      <c r="G104" s="31" t="s">
        <v>222</v>
      </c>
      <c r="H104" s="40">
        <v>45748</v>
      </c>
      <c r="I104" s="31" t="str">
        <f t="shared" ca="1" si="2"/>
        <v/>
      </c>
      <c r="J104" s="31">
        <f t="shared" si="3"/>
        <v>102</v>
      </c>
    </row>
    <row r="105" spans="2:10" hidden="1">
      <c r="B105" s="31">
        <v>5</v>
      </c>
      <c r="D105" s="31" t="b">
        <v>1</v>
      </c>
      <c r="E105" s="34" t="s">
        <v>223</v>
      </c>
      <c r="F105" s="31" t="s">
        <v>224</v>
      </c>
      <c r="G105" s="31" t="s">
        <v>225</v>
      </c>
      <c r="H105" s="40">
        <v>45748</v>
      </c>
      <c r="I105" s="31" t="str">
        <f t="shared" ca="1" si="2"/>
        <v/>
      </c>
      <c r="J105" s="31">
        <f t="shared" si="3"/>
        <v>103</v>
      </c>
    </row>
    <row r="106" spans="2:10" hidden="1">
      <c r="B106" s="31">
        <v>5</v>
      </c>
      <c r="D106" s="31" t="b">
        <v>1</v>
      </c>
      <c r="E106" s="34" t="s">
        <v>226</v>
      </c>
      <c r="F106" s="31" t="s">
        <v>227</v>
      </c>
      <c r="H106" s="40">
        <v>45748</v>
      </c>
      <c r="I106" s="31" t="str">
        <f t="shared" ca="1" si="2"/>
        <v/>
      </c>
      <c r="J106" s="31">
        <f t="shared" si="3"/>
        <v>104</v>
      </c>
    </row>
    <row r="107" spans="2:10" hidden="1">
      <c r="B107" s="31">
        <v>4</v>
      </c>
      <c r="D107" s="31" t="b">
        <v>1</v>
      </c>
      <c r="E107" s="34" t="s">
        <v>228</v>
      </c>
      <c r="F107" s="31" t="s">
        <v>229</v>
      </c>
      <c r="H107" s="40">
        <v>45735</v>
      </c>
      <c r="I107" s="31" t="str">
        <f t="shared" ca="1" si="2"/>
        <v>●</v>
      </c>
      <c r="J107" s="31">
        <f t="shared" si="3"/>
        <v>105</v>
      </c>
    </row>
    <row r="108" spans="2:10" hidden="1">
      <c r="B108" s="31">
        <v>5</v>
      </c>
      <c r="D108" s="31" t="b">
        <v>1</v>
      </c>
      <c r="E108" s="34" t="s">
        <v>230</v>
      </c>
      <c r="F108" s="31" t="s">
        <v>231</v>
      </c>
      <c r="G108" s="31" t="s">
        <v>232</v>
      </c>
      <c r="H108" s="40">
        <v>45748</v>
      </c>
      <c r="I108" s="31" t="str">
        <f t="shared" ca="1" si="2"/>
        <v/>
      </c>
      <c r="J108" s="31">
        <f t="shared" si="3"/>
        <v>106</v>
      </c>
    </row>
    <row r="109" spans="2:10" hidden="1">
      <c r="B109" s="31">
        <v>5</v>
      </c>
      <c r="D109" s="31" t="b">
        <v>1</v>
      </c>
      <c r="E109" s="34" t="s">
        <v>233</v>
      </c>
      <c r="F109" s="31" t="s">
        <v>234</v>
      </c>
      <c r="G109" s="31" t="s">
        <v>235</v>
      </c>
      <c r="H109" s="40">
        <v>45748</v>
      </c>
      <c r="I109" s="31" t="str">
        <f t="shared" ca="1" si="2"/>
        <v/>
      </c>
      <c r="J109" s="31">
        <f t="shared" si="3"/>
        <v>107</v>
      </c>
    </row>
    <row r="110" spans="2:10" hidden="1">
      <c r="B110" s="31">
        <v>5</v>
      </c>
      <c r="D110" s="31" t="b">
        <v>1</v>
      </c>
      <c r="E110" s="34" t="s">
        <v>236</v>
      </c>
      <c r="F110" s="31" t="s">
        <v>237</v>
      </c>
      <c r="G110" s="31" t="s">
        <v>238</v>
      </c>
      <c r="H110" s="40">
        <v>45748</v>
      </c>
      <c r="I110" s="31" t="str">
        <f t="shared" ca="1" si="2"/>
        <v/>
      </c>
      <c r="J110" s="31">
        <f t="shared" si="3"/>
        <v>108</v>
      </c>
    </row>
    <row r="111" spans="2:10" hidden="1">
      <c r="B111" s="31">
        <v>5</v>
      </c>
      <c r="D111" s="31" t="b">
        <v>1</v>
      </c>
      <c r="E111" s="34" t="s">
        <v>239</v>
      </c>
      <c r="F111" s="31" t="s">
        <v>240</v>
      </c>
      <c r="G111" s="31" t="s">
        <v>241</v>
      </c>
      <c r="H111" s="40">
        <v>45748</v>
      </c>
      <c r="I111" s="31" t="str">
        <f t="shared" ca="1" si="2"/>
        <v/>
      </c>
      <c r="J111" s="31">
        <f t="shared" si="3"/>
        <v>109</v>
      </c>
    </row>
    <row r="112" spans="2:10" hidden="1">
      <c r="B112" s="31">
        <v>5</v>
      </c>
      <c r="D112" s="31" t="b">
        <v>1</v>
      </c>
      <c r="E112" s="34" t="s">
        <v>242</v>
      </c>
      <c r="F112" s="31" t="s">
        <v>243</v>
      </c>
      <c r="H112" s="40">
        <v>45748</v>
      </c>
      <c r="I112" s="31" t="str">
        <f t="shared" ca="1" si="2"/>
        <v/>
      </c>
      <c r="J112" s="31">
        <f t="shared" si="3"/>
        <v>110</v>
      </c>
    </row>
    <row r="113" spans="2:10" hidden="1">
      <c r="B113" s="31">
        <v>5</v>
      </c>
      <c r="D113" s="31" t="b">
        <v>1</v>
      </c>
      <c r="E113" s="34" t="s">
        <v>244</v>
      </c>
      <c r="F113" s="31" t="s">
        <v>245</v>
      </c>
      <c r="G113" s="31" t="s">
        <v>246</v>
      </c>
      <c r="H113" s="40">
        <v>45748</v>
      </c>
      <c r="I113" s="31" t="str">
        <f t="shared" ca="1" si="2"/>
        <v/>
      </c>
      <c r="J113" s="31">
        <f t="shared" si="3"/>
        <v>111</v>
      </c>
    </row>
    <row r="114" spans="2:10" hidden="1">
      <c r="B114" s="31">
        <v>5</v>
      </c>
      <c r="D114" s="31" t="b">
        <v>1</v>
      </c>
      <c r="E114" s="34" t="s">
        <v>247</v>
      </c>
      <c r="F114" s="31" t="s">
        <v>248</v>
      </c>
      <c r="G114" s="31" t="s">
        <v>249</v>
      </c>
      <c r="H114" s="40">
        <v>45748</v>
      </c>
      <c r="I114" s="31" t="str">
        <f t="shared" ca="1" si="2"/>
        <v/>
      </c>
      <c r="J114" s="31">
        <f t="shared" si="3"/>
        <v>112</v>
      </c>
    </row>
    <row r="115" spans="2:10" hidden="1">
      <c r="B115" s="31">
        <v>5</v>
      </c>
      <c r="D115" s="31" t="b">
        <v>1</v>
      </c>
      <c r="E115" s="34" t="s">
        <v>250</v>
      </c>
      <c r="F115" s="31" t="s">
        <v>251</v>
      </c>
      <c r="G115" s="31" t="s">
        <v>252</v>
      </c>
      <c r="H115" s="40">
        <v>45748</v>
      </c>
      <c r="I115" s="31" t="str">
        <f t="shared" ca="1" si="2"/>
        <v/>
      </c>
      <c r="J115" s="31">
        <f t="shared" si="3"/>
        <v>113</v>
      </c>
    </row>
    <row r="116" spans="2:10" hidden="1">
      <c r="B116" s="31">
        <v>5</v>
      </c>
      <c r="D116" s="31" t="b">
        <v>1</v>
      </c>
      <c r="E116" s="34" t="s">
        <v>253</v>
      </c>
      <c r="F116" s="31" t="s">
        <v>254</v>
      </c>
      <c r="G116" s="31" t="s">
        <v>255</v>
      </c>
      <c r="H116" s="40">
        <v>45748</v>
      </c>
      <c r="I116" s="31" t="str">
        <f t="shared" ca="1" si="2"/>
        <v/>
      </c>
      <c r="J116" s="31">
        <f t="shared" si="3"/>
        <v>114</v>
      </c>
    </row>
    <row r="117" spans="2:10" hidden="1">
      <c r="B117" s="31">
        <v>5</v>
      </c>
      <c r="D117" s="31" t="b">
        <v>1</v>
      </c>
      <c r="E117" s="34" t="s">
        <v>256</v>
      </c>
      <c r="F117" s="31" t="s">
        <v>257</v>
      </c>
      <c r="G117" s="31" t="s">
        <v>258</v>
      </c>
      <c r="H117" s="40">
        <v>45748</v>
      </c>
      <c r="I117" s="31" t="str">
        <f t="shared" ca="1" si="2"/>
        <v/>
      </c>
      <c r="J117" s="31">
        <f t="shared" si="3"/>
        <v>115</v>
      </c>
    </row>
    <row r="118" spans="2:10" hidden="1">
      <c r="B118" s="31">
        <v>5</v>
      </c>
      <c r="D118" s="31" t="b">
        <v>1</v>
      </c>
      <c r="E118" s="34" t="s">
        <v>58</v>
      </c>
      <c r="F118" s="31" t="s">
        <v>259</v>
      </c>
      <c r="G118" s="31" t="s">
        <v>260</v>
      </c>
      <c r="H118" s="40">
        <v>45748</v>
      </c>
      <c r="I118" s="31" t="str">
        <f t="shared" ca="1" si="2"/>
        <v/>
      </c>
      <c r="J118" s="31">
        <f t="shared" si="3"/>
        <v>116</v>
      </c>
    </row>
    <row r="119" spans="2:10" hidden="1">
      <c r="B119" s="31">
        <v>5</v>
      </c>
      <c r="D119" s="31" t="b">
        <v>1</v>
      </c>
      <c r="E119" s="34" t="s">
        <v>261</v>
      </c>
      <c r="F119" s="31" t="s">
        <v>262</v>
      </c>
      <c r="H119" s="40">
        <v>45748</v>
      </c>
      <c r="I119" s="31" t="str">
        <f t="shared" ca="1" si="2"/>
        <v/>
      </c>
      <c r="J119" s="31">
        <f t="shared" si="3"/>
        <v>117</v>
      </c>
    </row>
    <row r="120" spans="2:10" hidden="1">
      <c r="B120" s="31">
        <v>5</v>
      </c>
      <c r="D120" s="31" t="b">
        <v>1</v>
      </c>
      <c r="E120" s="34" t="s">
        <v>263</v>
      </c>
      <c r="F120" s="31" t="s">
        <v>264</v>
      </c>
      <c r="G120" s="31" t="s">
        <v>265</v>
      </c>
      <c r="H120" s="40">
        <v>45748</v>
      </c>
      <c r="I120" s="31" t="str">
        <f t="shared" ca="1" si="2"/>
        <v/>
      </c>
      <c r="J120" s="31">
        <f t="shared" si="3"/>
        <v>118</v>
      </c>
    </row>
    <row r="121" spans="2:10" hidden="1">
      <c r="B121" s="31">
        <v>5</v>
      </c>
      <c r="D121" s="31" t="b">
        <v>1</v>
      </c>
      <c r="E121" s="34" t="s">
        <v>266</v>
      </c>
      <c r="F121" s="31" t="s">
        <v>267</v>
      </c>
      <c r="G121" s="31" t="s">
        <v>268</v>
      </c>
      <c r="H121" s="40">
        <v>45748</v>
      </c>
      <c r="I121" s="31" t="str">
        <f t="shared" ref="I121:I145" ca="1" si="4">IF(H121-$G$1&lt;=0,"●","")</f>
        <v/>
      </c>
      <c r="J121" s="31">
        <f t="shared" ref="J121:J145" si="5">ROW()-2</f>
        <v>119</v>
      </c>
    </row>
    <row r="122" spans="2:10" hidden="1">
      <c r="B122" s="31">
        <v>5</v>
      </c>
      <c r="D122" s="31" t="b">
        <v>1</v>
      </c>
      <c r="E122" s="34" t="s">
        <v>101</v>
      </c>
      <c r="F122" s="31" t="s">
        <v>269</v>
      </c>
      <c r="H122" s="40">
        <v>45748</v>
      </c>
      <c r="I122" s="31" t="str">
        <f t="shared" ca="1" si="4"/>
        <v/>
      </c>
      <c r="J122" s="31">
        <f t="shared" si="5"/>
        <v>120</v>
      </c>
    </row>
    <row r="123" spans="2:10" hidden="1">
      <c r="B123" s="31">
        <v>5</v>
      </c>
      <c r="D123" s="31" t="b">
        <v>1</v>
      </c>
      <c r="E123" s="34" t="s">
        <v>270</v>
      </c>
      <c r="F123" s="31" t="s">
        <v>271</v>
      </c>
      <c r="H123" s="40">
        <v>45748</v>
      </c>
      <c r="I123" s="31" t="str">
        <f t="shared" ca="1" si="4"/>
        <v/>
      </c>
      <c r="J123" s="31">
        <f t="shared" si="5"/>
        <v>121</v>
      </c>
    </row>
    <row r="124" spans="2:10" hidden="1">
      <c r="B124" s="35">
        <v>5</v>
      </c>
      <c r="C124" s="31" t="s">
        <v>116</v>
      </c>
      <c r="D124" s="35" t="b">
        <v>1</v>
      </c>
      <c r="E124" s="34" t="s">
        <v>272</v>
      </c>
      <c r="F124" s="31" t="s">
        <v>273</v>
      </c>
      <c r="H124" s="40">
        <v>45722</v>
      </c>
      <c r="I124" s="31" t="str">
        <f t="shared" ca="1" si="4"/>
        <v>●</v>
      </c>
      <c r="J124" s="31">
        <f t="shared" si="5"/>
        <v>122</v>
      </c>
    </row>
    <row r="125" spans="2:10" hidden="1">
      <c r="B125" s="31">
        <v>5</v>
      </c>
      <c r="D125" s="31" t="b">
        <v>1</v>
      </c>
      <c r="E125" s="34" t="s">
        <v>274</v>
      </c>
      <c r="F125" s="31" t="s">
        <v>275</v>
      </c>
      <c r="H125" s="40">
        <v>45748</v>
      </c>
      <c r="I125" s="31" t="str">
        <f t="shared" ca="1" si="4"/>
        <v/>
      </c>
      <c r="J125" s="31">
        <f t="shared" si="5"/>
        <v>123</v>
      </c>
    </row>
    <row r="126" spans="2:10" hidden="1">
      <c r="B126" s="31">
        <v>5</v>
      </c>
      <c r="D126" s="31" t="b">
        <v>1</v>
      </c>
      <c r="E126" s="34" t="s">
        <v>276</v>
      </c>
      <c r="F126" s="31" t="s">
        <v>277</v>
      </c>
      <c r="G126" s="31" t="s">
        <v>278</v>
      </c>
      <c r="H126" s="40">
        <v>45748</v>
      </c>
      <c r="I126" s="31" t="str">
        <f t="shared" ca="1" si="4"/>
        <v/>
      </c>
      <c r="J126" s="31">
        <f t="shared" si="5"/>
        <v>124</v>
      </c>
    </row>
    <row r="127" spans="2:10" hidden="1">
      <c r="B127" s="31">
        <v>5</v>
      </c>
      <c r="D127" s="31" t="b">
        <v>1</v>
      </c>
      <c r="E127" s="34" t="s">
        <v>279</v>
      </c>
      <c r="F127" s="31" t="s">
        <v>280</v>
      </c>
      <c r="G127" s="31" t="s">
        <v>281</v>
      </c>
      <c r="H127" s="40">
        <v>45748</v>
      </c>
      <c r="I127" s="31" t="str">
        <f t="shared" ca="1" si="4"/>
        <v/>
      </c>
      <c r="J127" s="31">
        <f t="shared" si="5"/>
        <v>125</v>
      </c>
    </row>
    <row r="128" spans="2:10" hidden="1">
      <c r="B128" s="31">
        <v>5</v>
      </c>
      <c r="D128" s="31" t="b">
        <v>1</v>
      </c>
      <c r="E128" s="34" t="s">
        <v>282</v>
      </c>
      <c r="F128" s="31" t="s">
        <v>283</v>
      </c>
      <c r="G128" s="31" t="s">
        <v>284</v>
      </c>
      <c r="H128" s="40">
        <v>45748</v>
      </c>
      <c r="I128" s="31" t="str">
        <f t="shared" ca="1" si="4"/>
        <v/>
      </c>
      <c r="J128" s="31">
        <f t="shared" si="5"/>
        <v>126</v>
      </c>
    </row>
    <row r="129" spans="2:10" hidden="1">
      <c r="B129" s="31">
        <v>5</v>
      </c>
      <c r="D129" s="31" t="b">
        <v>1</v>
      </c>
      <c r="E129" s="34" t="s">
        <v>285</v>
      </c>
      <c r="F129" s="31" t="s">
        <v>286</v>
      </c>
      <c r="G129" s="31" t="s">
        <v>287</v>
      </c>
      <c r="H129" s="40">
        <v>45748</v>
      </c>
      <c r="I129" s="31" t="str">
        <f t="shared" ca="1" si="4"/>
        <v/>
      </c>
      <c r="J129" s="31">
        <f t="shared" si="5"/>
        <v>127</v>
      </c>
    </row>
    <row r="130" spans="2:10" hidden="1">
      <c r="B130" s="31">
        <v>5</v>
      </c>
      <c r="D130" s="31" t="b">
        <v>1</v>
      </c>
      <c r="E130" s="34" t="s">
        <v>288</v>
      </c>
      <c r="F130" s="31" t="s">
        <v>289</v>
      </c>
      <c r="G130" s="31" t="s">
        <v>290</v>
      </c>
      <c r="H130" s="40">
        <v>45748</v>
      </c>
      <c r="I130" s="31" t="str">
        <f t="shared" ca="1" si="4"/>
        <v/>
      </c>
      <c r="J130" s="31">
        <f t="shared" si="5"/>
        <v>128</v>
      </c>
    </row>
    <row r="131" spans="2:10" hidden="1">
      <c r="B131" s="31">
        <v>5</v>
      </c>
      <c r="D131" s="31" t="b">
        <v>1</v>
      </c>
      <c r="E131" s="34" t="s">
        <v>291</v>
      </c>
      <c r="F131" s="31" t="s">
        <v>292</v>
      </c>
      <c r="G131" s="31" t="s">
        <v>293</v>
      </c>
      <c r="H131" s="40">
        <v>45748</v>
      </c>
      <c r="I131" s="31" t="str">
        <f t="shared" ca="1" si="4"/>
        <v/>
      </c>
      <c r="J131" s="31">
        <f t="shared" si="5"/>
        <v>129</v>
      </c>
    </row>
    <row r="132" spans="2:10" hidden="1">
      <c r="B132" s="31">
        <v>5</v>
      </c>
      <c r="D132" s="31" t="b">
        <v>1</v>
      </c>
      <c r="E132" s="34" t="s">
        <v>294</v>
      </c>
      <c r="F132" s="31" t="s">
        <v>295</v>
      </c>
      <c r="G132" s="31" t="s">
        <v>296</v>
      </c>
      <c r="H132" s="40">
        <v>45748</v>
      </c>
      <c r="I132" s="31" t="str">
        <f t="shared" ca="1" si="4"/>
        <v/>
      </c>
      <c r="J132" s="31">
        <f t="shared" si="5"/>
        <v>130</v>
      </c>
    </row>
    <row r="133" spans="2:10" hidden="1">
      <c r="B133" s="31">
        <v>5</v>
      </c>
      <c r="D133" s="31" t="b">
        <v>1</v>
      </c>
      <c r="E133" s="34" t="s">
        <v>297</v>
      </c>
      <c r="F133" s="31" t="s">
        <v>298</v>
      </c>
      <c r="G133" s="31" t="s">
        <v>299</v>
      </c>
      <c r="H133" s="40">
        <v>45748</v>
      </c>
      <c r="I133" s="31" t="str">
        <f t="shared" ca="1" si="4"/>
        <v/>
      </c>
      <c r="J133" s="31">
        <f t="shared" si="5"/>
        <v>131</v>
      </c>
    </row>
    <row r="134" spans="2:10" hidden="1">
      <c r="B134" s="31">
        <v>5</v>
      </c>
      <c r="D134" s="31" t="b">
        <v>1</v>
      </c>
      <c r="E134" s="34" t="s">
        <v>300</v>
      </c>
      <c r="F134" s="31" t="s">
        <v>301</v>
      </c>
      <c r="G134" s="31" t="s">
        <v>302</v>
      </c>
      <c r="H134" s="40">
        <v>45748</v>
      </c>
      <c r="I134" s="31" t="str">
        <f t="shared" ca="1" si="4"/>
        <v/>
      </c>
      <c r="J134" s="31">
        <f t="shared" si="5"/>
        <v>132</v>
      </c>
    </row>
    <row r="135" spans="2:10" hidden="1">
      <c r="B135" s="31">
        <v>5</v>
      </c>
      <c r="D135" s="31" t="b">
        <v>1</v>
      </c>
      <c r="E135" s="34" t="s">
        <v>303</v>
      </c>
      <c r="F135" s="31" t="s">
        <v>304</v>
      </c>
      <c r="H135" s="40">
        <v>45748</v>
      </c>
      <c r="I135" s="31" t="str">
        <f t="shared" ca="1" si="4"/>
        <v/>
      </c>
      <c r="J135" s="31">
        <f t="shared" si="5"/>
        <v>133</v>
      </c>
    </row>
    <row r="136" spans="2:10" hidden="1">
      <c r="B136" s="31">
        <v>5</v>
      </c>
      <c r="D136" s="31" t="b">
        <v>1</v>
      </c>
      <c r="E136" s="34" t="s">
        <v>305</v>
      </c>
      <c r="F136" s="31" t="s">
        <v>306</v>
      </c>
      <c r="G136" s="31" t="s">
        <v>307</v>
      </c>
      <c r="H136" s="40">
        <v>45748</v>
      </c>
      <c r="I136" s="31" t="str">
        <f t="shared" ca="1" si="4"/>
        <v/>
      </c>
      <c r="J136" s="31">
        <f t="shared" si="5"/>
        <v>134</v>
      </c>
    </row>
    <row r="137" spans="2:10" hidden="1">
      <c r="B137" s="31">
        <v>5</v>
      </c>
      <c r="D137" s="31" t="b">
        <v>1</v>
      </c>
      <c r="E137" s="34" t="s">
        <v>308</v>
      </c>
      <c r="F137" s="31" t="s">
        <v>309</v>
      </c>
      <c r="H137" s="40">
        <v>45748</v>
      </c>
      <c r="I137" s="31" t="str">
        <f t="shared" ca="1" si="4"/>
        <v/>
      </c>
      <c r="J137" s="31">
        <f t="shared" si="5"/>
        <v>135</v>
      </c>
    </row>
    <row r="138" spans="2:10" hidden="1">
      <c r="B138" s="31">
        <v>5</v>
      </c>
      <c r="D138" s="31" t="b">
        <v>1</v>
      </c>
      <c r="E138" s="34" t="s">
        <v>310</v>
      </c>
      <c r="F138" s="31" t="s">
        <v>311</v>
      </c>
      <c r="H138" s="40">
        <v>45748</v>
      </c>
      <c r="I138" s="31" t="str">
        <f t="shared" ca="1" si="4"/>
        <v/>
      </c>
      <c r="J138" s="31">
        <f t="shared" si="5"/>
        <v>136</v>
      </c>
    </row>
    <row r="139" spans="2:10" hidden="1">
      <c r="B139" s="31">
        <v>5</v>
      </c>
      <c r="D139" s="31" t="b">
        <v>1</v>
      </c>
      <c r="E139" s="34" t="s">
        <v>312</v>
      </c>
      <c r="F139" s="31" t="s">
        <v>313</v>
      </c>
      <c r="H139" s="40">
        <v>45748</v>
      </c>
      <c r="I139" s="31" t="str">
        <f t="shared" ca="1" si="4"/>
        <v/>
      </c>
      <c r="J139" s="31">
        <f t="shared" si="5"/>
        <v>137</v>
      </c>
    </row>
    <row r="140" spans="2:10" hidden="1">
      <c r="B140" s="31">
        <v>5</v>
      </c>
      <c r="D140" s="31" t="b">
        <v>1</v>
      </c>
      <c r="E140" s="34" t="s">
        <v>314</v>
      </c>
      <c r="F140" s="31" t="s">
        <v>315</v>
      </c>
      <c r="H140" s="40">
        <v>45748</v>
      </c>
      <c r="I140" s="31" t="str">
        <f t="shared" ca="1" si="4"/>
        <v/>
      </c>
      <c r="J140" s="31">
        <f t="shared" si="5"/>
        <v>138</v>
      </c>
    </row>
    <row r="141" spans="2:10" hidden="1">
      <c r="B141" s="31">
        <v>5</v>
      </c>
      <c r="D141" s="31" t="b">
        <v>1</v>
      </c>
      <c r="E141" s="34" t="s">
        <v>316</v>
      </c>
      <c r="F141" s="31" t="s">
        <v>317</v>
      </c>
      <c r="H141" s="40">
        <v>45748</v>
      </c>
      <c r="I141" s="31" t="str">
        <f t="shared" ca="1" si="4"/>
        <v/>
      </c>
      <c r="J141" s="31">
        <f t="shared" si="5"/>
        <v>139</v>
      </c>
    </row>
    <row r="142" spans="2:10" hidden="1">
      <c r="B142" s="31">
        <v>5</v>
      </c>
      <c r="D142" s="31" t="b">
        <v>1</v>
      </c>
      <c r="E142" s="34" t="s">
        <v>318</v>
      </c>
      <c r="F142" s="31" t="s">
        <v>319</v>
      </c>
      <c r="H142" s="40">
        <v>45748</v>
      </c>
      <c r="I142" s="31" t="str">
        <f t="shared" ca="1" si="4"/>
        <v/>
      </c>
      <c r="J142" s="31">
        <f t="shared" si="5"/>
        <v>140</v>
      </c>
    </row>
    <row r="143" spans="2:10" hidden="1">
      <c r="B143" s="31">
        <v>5</v>
      </c>
      <c r="D143" s="31" t="b">
        <v>1</v>
      </c>
      <c r="E143" s="34" t="s">
        <v>320</v>
      </c>
      <c r="F143" s="31" t="s">
        <v>321</v>
      </c>
      <c r="H143" s="40">
        <v>45751</v>
      </c>
      <c r="I143" s="31" t="str">
        <f t="shared" ca="1" si="4"/>
        <v/>
      </c>
      <c r="J143" s="31">
        <f t="shared" si="5"/>
        <v>141</v>
      </c>
    </row>
    <row r="144" spans="2:10" hidden="1">
      <c r="B144" s="31">
        <v>5</v>
      </c>
      <c r="D144" s="31" t="b">
        <v>1</v>
      </c>
      <c r="E144" s="34" t="s">
        <v>322</v>
      </c>
      <c r="F144" s="31" t="s">
        <v>323</v>
      </c>
      <c r="H144" s="40">
        <v>45751</v>
      </c>
      <c r="I144" s="31" t="str">
        <f t="shared" ca="1" si="4"/>
        <v/>
      </c>
      <c r="J144" s="31">
        <f t="shared" si="5"/>
        <v>142</v>
      </c>
    </row>
    <row r="145" spans="2:10" hidden="1">
      <c r="B145" s="31">
        <v>5</v>
      </c>
      <c r="D145" s="31" t="b">
        <v>1</v>
      </c>
      <c r="E145" s="34" t="s">
        <v>324</v>
      </c>
      <c r="F145" s="31" t="s">
        <v>325</v>
      </c>
      <c r="H145" s="40">
        <v>45751</v>
      </c>
      <c r="I145" s="31" t="str">
        <f t="shared" ca="1" si="4"/>
        <v/>
      </c>
      <c r="J145" s="31">
        <f t="shared" si="5"/>
        <v>143</v>
      </c>
    </row>
    <row r="146" spans="2:10" hidden="1">
      <c r="B146" s="31">
        <v>5</v>
      </c>
      <c r="D146" s="31" t="b">
        <v>1</v>
      </c>
      <c r="E146" s="34" t="s">
        <v>326</v>
      </c>
      <c r="F146" s="31" t="s">
        <v>327</v>
      </c>
      <c r="H146" s="40">
        <v>45751</v>
      </c>
      <c r="I146" s="31" t="str">
        <f t="shared" ref="I146:I209" ca="1" si="6">IF(H146-$G$1&lt;=0,"●","")</f>
        <v/>
      </c>
      <c r="J146" s="31">
        <f t="shared" ref="J146:J209" si="7">ROW()-2</f>
        <v>144</v>
      </c>
    </row>
    <row r="147" spans="2:10">
      <c r="B147" s="35">
        <v>5</v>
      </c>
      <c r="C147" s="31" t="s">
        <v>116</v>
      </c>
      <c r="D147" s="35" t="b">
        <v>1</v>
      </c>
      <c r="E147" s="34" t="s">
        <v>328</v>
      </c>
      <c r="F147" s="31" t="s">
        <v>329</v>
      </c>
      <c r="H147" s="40">
        <v>45722</v>
      </c>
      <c r="I147" s="31" t="str">
        <f t="shared" ca="1" si="6"/>
        <v>●</v>
      </c>
      <c r="J147" s="31">
        <f t="shared" si="7"/>
        <v>145</v>
      </c>
    </row>
    <row r="148" spans="2:10" hidden="1">
      <c r="B148" s="31">
        <v>5</v>
      </c>
      <c r="D148" s="31" t="b">
        <v>1</v>
      </c>
      <c r="E148" s="34" t="s">
        <v>330</v>
      </c>
      <c r="F148" s="31" t="s">
        <v>331</v>
      </c>
      <c r="H148" s="40">
        <v>45751</v>
      </c>
      <c r="I148" s="31" t="str">
        <f t="shared" ca="1" si="6"/>
        <v/>
      </c>
      <c r="J148" s="31">
        <f t="shared" si="7"/>
        <v>146</v>
      </c>
    </row>
    <row r="149" spans="2:10" hidden="1">
      <c r="B149" s="31">
        <v>5</v>
      </c>
      <c r="D149" s="31" t="b">
        <v>1</v>
      </c>
      <c r="E149" s="34" t="s">
        <v>332</v>
      </c>
      <c r="F149" s="31" t="s">
        <v>333</v>
      </c>
      <c r="H149" s="40">
        <v>45751</v>
      </c>
      <c r="I149" s="31" t="str">
        <f t="shared" ca="1" si="6"/>
        <v/>
      </c>
      <c r="J149" s="31">
        <f t="shared" si="7"/>
        <v>147</v>
      </c>
    </row>
    <row r="150" spans="2:10" hidden="1">
      <c r="B150" s="31">
        <v>5</v>
      </c>
      <c r="D150" s="31" t="b">
        <v>1</v>
      </c>
      <c r="E150" s="34" t="s">
        <v>334</v>
      </c>
      <c r="F150" s="31" t="s">
        <v>335</v>
      </c>
      <c r="H150" s="40">
        <v>45751</v>
      </c>
      <c r="I150" s="31" t="str">
        <f t="shared" ca="1" si="6"/>
        <v/>
      </c>
      <c r="J150" s="31">
        <f t="shared" si="7"/>
        <v>148</v>
      </c>
    </row>
    <row r="151" spans="2:10" hidden="1">
      <c r="B151" s="31">
        <v>5</v>
      </c>
      <c r="D151" s="31" t="b">
        <v>1</v>
      </c>
      <c r="E151" s="34" t="s">
        <v>336</v>
      </c>
      <c r="F151" s="31" t="s">
        <v>337</v>
      </c>
      <c r="H151" s="40">
        <v>45751</v>
      </c>
      <c r="I151" s="31" t="str">
        <f t="shared" ca="1" si="6"/>
        <v/>
      </c>
      <c r="J151" s="31">
        <f t="shared" si="7"/>
        <v>149</v>
      </c>
    </row>
    <row r="152" spans="2:10" hidden="1">
      <c r="B152" s="31">
        <v>5</v>
      </c>
      <c r="D152" s="31" t="b">
        <v>1</v>
      </c>
      <c r="E152" s="34" t="s">
        <v>338</v>
      </c>
      <c r="F152" s="31" t="s">
        <v>339</v>
      </c>
      <c r="H152" s="40">
        <v>45751</v>
      </c>
      <c r="I152" s="31" t="str">
        <f t="shared" ca="1" si="6"/>
        <v/>
      </c>
      <c r="J152" s="31">
        <f t="shared" si="7"/>
        <v>150</v>
      </c>
    </row>
    <row r="153" spans="2:10" hidden="1">
      <c r="B153" s="31">
        <v>5</v>
      </c>
      <c r="D153" s="31" t="b">
        <v>1</v>
      </c>
      <c r="E153" s="34" t="s">
        <v>340</v>
      </c>
      <c r="F153" s="31" t="s">
        <v>341</v>
      </c>
      <c r="H153" s="40">
        <v>45751</v>
      </c>
      <c r="I153" s="31" t="str">
        <f t="shared" ca="1" si="6"/>
        <v/>
      </c>
      <c r="J153" s="31">
        <f t="shared" si="7"/>
        <v>151</v>
      </c>
    </row>
    <row r="154" spans="2:10" hidden="1">
      <c r="B154" s="31">
        <v>5</v>
      </c>
      <c r="D154" s="31" t="b">
        <v>1</v>
      </c>
      <c r="E154" s="34" t="s">
        <v>342</v>
      </c>
      <c r="F154" s="31" t="s">
        <v>343</v>
      </c>
      <c r="H154" s="40">
        <v>45751</v>
      </c>
      <c r="I154" s="31" t="str">
        <f t="shared" ca="1" si="6"/>
        <v/>
      </c>
      <c r="J154" s="31">
        <f t="shared" si="7"/>
        <v>152</v>
      </c>
    </row>
    <row r="155" spans="2:10" hidden="1">
      <c r="B155" s="31">
        <v>5</v>
      </c>
      <c r="D155" s="31" t="b">
        <v>1</v>
      </c>
      <c r="E155" s="34" t="s">
        <v>344</v>
      </c>
      <c r="F155" s="31" t="s">
        <v>345</v>
      </c>
      <c r="H155" s="40">
        <v>45751</v>
      </c>
      <c r="I155" s="31" t="str">
        <f t="shared" ca="1" si="6"/>
        <v/>
      </c>
      <c r="J155" s="31">
        <f t="shared" si="7"/>
        <v>153</v>
      </c>
    </row>
    <row r="156" spans="2:10" hidden="1">
      <c r="B156" s="31">
        <v>5</v>
      </c>
      <c r="D156" s="31" t="b">
        <v>1</v>
      </c>
      <c r="E156" s="34" t="s">
        <v>346</v>
      </c>
      <c r="F156" s="31" t="s">
        <v>347</v>
      </c>
      <c r="H156" s="40">
        <v>45751</v>
      </c>
      <c r="I156" s="31" t="str">
        <f t="shared" ca="1" si="6"/>
        <v/>
      </c>
      <c r="J156" s="31">
        <f t="shared" si="7"/>
        <v>154</v>
      </c>
    </row>
    <row r="157" spans="2:10" hidden="1">
      <c r="B157" s="31">
        <v>5</v>
      </c>
      <c r="D157" s="31" t="b">
        <v>1</v>
      </c>
      <c r="E157" s="34" t="s">
        <v>348</v>
      </c>
      <c r="F157" s="31" t="s">
        <v>349</v>
      </c>
      <c r="H157" s="40">
        <v>45751</v>
      </c>
      <c r="I157" s="31" t="str">
        <f t="shared" ca="1" si="6"/>
        <v/>
      </c>
      <c r="J157" s="31">
        <f t="shared" si="7"/>
        <v>155</v>
      </c>
    </row>
    <row r="158" spans="2:10" hidden="1">
      <c r="B158" s="31">
        <v>5</v>
      </c>
      <c r="D158" s="31" t="b">
        <v>1</v>
      </c>
      <c r="E158" s="34" t="s">
        <v>350</v>
      </c>
      <c r="F158" s="31" t="s">
        <v>351</v>
      </c>
      <c r="H158" s="40">
        <v>45751</v>
      </c>
      <c r="I158" s="31" t="str">
        <f t="shared" ca="1" si="6"/>
        <v/>
      </c>
      <c r="J158" s="31">
        <f t="shared" si="7"/>
        <v>156</v>
      </c>
    </row>
    <row r="159" spans="2:10" hidden="1">
      <c r="B159" s="31">
        <v>5</v>
      </c>
      <c r="D159" s="31" t="b">
        <v>1</v>
      </c>
      <c r="E159" s="34" t="s">
        <v>352</v>
      </c>
      <c r="F159" s="31" t="s">
        <v>353</v>
      </c>
      <c r="H159" s="40">
        <v>45751</v>
      </c>
      <c r="I159" s="31" t="str">
        <f t="shared" ca="1" si="6"/>
        <v/>
      </c>
      <c r="J159" s="31">
        <f t="shared" si="7"/>
        <v>157</v>
      </c>
    </row>
    <row r="160" spans="2:10" hidden="1">
      <c r="B160" s="31">
        <v>5</v>
      </c>
      <c r="D160" s="31" t="b">
        <v>1</v>
      </c>
      <c r="E160" s="34" t="s">
        <v>354</v>
      </c>
      <c r="F160" s="31" t="s">
        <v>355</v>
      </c>
      <c r="H160" s="40">
        <v>45751</v>
      </c>
      <c r="I160" s="31" t="str">
        <f t="shared" ca="1" si="6"/>
        <v/>
      </c>
      <c r="J160" s="31">
        <f t="shared" si="7"/>
        <v>158</v>
      </c>
    </row>
    <row r="161" spans="2:10" hidden="1">
      <c r="B161" s="31">
        <v>5</v>
      </c>
      <c r="D161" s="31" t="b">
        <v>1</v>
      </c>
      <c r="E161" s="34" t="s">
        <v>356</v>
      </c>
      <c r="F161" s="31" t="s">
        <v>357</v>
      </c>
      <c r="H161" s="40">
        <v>45751</v>
      </c>
      <c r="I161" s="31" t="str">
        <f t="shared" ca="1" si="6"/>
        <v/>
      </c>
      <c r="J161" s="31">
        <f t="shared" si="7"/>
        <v>159</v>
      </c>
    </row>
    <row r="162" spans="2:10" hidden="1">
      <c r="B162" s="31">
        <v>5</v>
      </c>
      <c r="D162" s="31" t="b">
        <v>1</v>
      </c>
      <c r="E162" s="34" t="s">
        <v>358</v>
      </c>
      <c r="F162" s="31" t="s">
        <v>359</v>
      </c>
      <c r="H162" s="40">
        <v>45751</v>
      </c>
      <c r="I162" s="31" t="str">
        <f t="shared" ca="1" si="6"/>
        <v/>
      </c>
      <c r="J162" s="31">
        <f t="shared" si="7"/>
        <v>160</v>
      </c>
    </row>
    <row r="163" spans="2:10" hidden="1">
      <c r="B163" s="31">
        <v>5</v>
      </c>
      <c r="D163" s="31" t="b">
        <v>1</v>
      </c>
      <c r="E163" s="34" t="s">
        <v>360</v>
      </c>
      <c r="F163" s="31" t="s">
        <v>361</v>
      </c>
      <c r="H163" s="40">
        <v>45751</v>
      </c>
      <c r="I163" s="31" t="str">
        <f t="shared" ca="1" si="6"/>
        <v/>
      </c>
      <c r="J163" s="31">
        <f t="shared" si="7"/>
        <v>161</v>
      </c>
    </row>
    <row r="164" spans="2:10" hidden="1">
      <c r="B164" s="31">
        <v>5</v>
      </c>
      <c r="D164" s="31" t="b">
        <v>1</v>
      </c>
      <c r="E164" s="34" t="s">
        <v>362</v>
      </c>
      <c r="F164" s="31" t="s">
        <v>363</v>
      </c>
      <c r="H164" s="40">
        <v>45751</v>
      </c>
      <c r="I164" s="31" t="str">
        <f t="shared" ca="1" si="6"/>
        <v/>
      </c>
      <c r="J164" s="31">
        <f t="shared" si="7"/>
        <v>162</v>
      </c>
    </row>
    <row r="165" spans="2:10">
      <c r="B165" s="35">
        <v>5</v>
      </c>
      <c r="C165" s="31" t="s">
        <v>116</v>
      </c>
      <c r="D165" s="35" t="b">
        <v>0</v>
      </c>
      <c r="E165" s="34" t="s">
        <v>364</v>
      </c>
      <c r="F165" s="31" t="s">
        <v>365</v>
      </c>
      <c r="H165" s="40">
        <v>45722</v>
      </c>
      <c r="I165" s="31" t="str">
        <f t="shared" ca="1" si="6"/>
        <v>●</v>
      </c>
      <c r="J165" s="31">
        <f t="shared" si="7"/>
        <v>163</v>
      </c>
    </row>
    <row r="166" spans="2:10" hidden="1">
      <c r="B166" s="31">
        <v>5</v>
      </c>
      <c r="D166" s="31" t="b">
        <v>1</v>
      </c>
      <c r="E166" s="34" t="s">
        <v>366</v>
      </c>
      <c r="F166" s="31" t="s">
        <v>367</v>
      </c>
      <c r="H166" s="40">
        <v>45751</v>
      </c>
      <c r="I166" s="31" t="str">
        <f t="shared" ca="1" si="6"/>
        <v/>
      </c>
      <c r="J166" s="31">
        <f t="shared" si="7"/>
        <v>164</v>
      </c>
    </row>
    <row r="167" spans="2:10" hidden="1">
      <c r="B167" s="31">
        <v>5</v>
      </c>
      <c r="D167" s="31" t="b">
        <v>1</v>
      </c>
      <c r="E167" s="34" t="s">
        <v>368</v>
      </c>
      <c r="F167" s="31" t="s">
        <v>369</v>
      </c>
      <c r="H167" s="40">
        <v>45751</v>
      </c>
      <c r="I167" s="31" t="str">
        <f t="shared" ca="1" si="6"/>
        <v/>
      </c>
      <c r="J167" s="31">
        <f t="shared" si="7"/>
        <v>165</v>
      </c>
    </row>
    <row r="168" spans="2:10" hidden="1">
      <c r="B168" s="31">
        <v>5</v>
      </c>
      <c r="D168" s="31" t="b">
        <v>1</v>
      </c>
      <c r="E168" s="34" t="s">
        <v>370</v>
      </c>
      <c r="F168" s="31" t="s">
        <v>371</v>
      </c>
      <c r="H168" s="40">
        <v>45751</v>
      </c>
      <c r="I168" s="31" t="str">
        <f t="shared" ca="1" si="6"/>
        <v/>
      </c>
      <c r="J168" s="31">
        <f t="shared" si="7"/>
        <v>166</v>
      </c>
    </row>
    <row r="169" spans="2:10" hidden="1">
      <c r="B169" s="31">
        <v>5</v>
      </c>
      <c r="D169" s="31" t="b">
        <v>1</v>
      </c>
      <c r="E169" s="34" t="s">
        <v>372</v>
      </c>
      <c r="F169" s="31" t="s">
        <v>373</v>
      </c>
      <c r="H169" s="40">
        <v>45751</v>
      </c>
      <c r="I169" s="31" t="str">
        <f t="shared" ca="1" si="6"/>
        <v/>
      </c>
      <c r="J169" s="31">
        <f t="shared" si="7"/>
        <v>167</v>
      </c>
    </row>
    <row r="170" spans="2:10" hidden="1">
      <c r="B170" s="31">
        <v>5</v>
      </c>
      <c r="D170" s="31" t="b">
        <v>1</v>
      </c>
      <c r="E170" s="34" t="s">
        <v>374</v>
      </c>
      <c r="F170" s="31" t="s">
        <v>375</v>
      </c>
      <c r="H170" s="40">
        <v>45751</v>
      </c>
      <c r="I170" s="31" t="str">
        <f t="shared" ca="1" si="6"/>
        <v/>
      </c>
      <c r="J170" s="31">
        <f t="shared" si="7"/>
        <v>168</v>
      </c>
    </row>
    <row r="171" spans="2:10" hidden="1">
      <c r="B171" s="31">
        <v>5</v>
      </c>
      <c r="D171" s="31" t="b">
        <v>1</v>
      </c>
      <c r="E171" s="34" t="s">
        <v>376</v>
      </c>
      <c r="F171" s="31" t="s">
        <v>377</v>
      </c>
      <c r="H171" s="40">
        <v>45751</v>
      </c>
      <c r="I171" s="31" t="str">
        <f t="shared" ca="1" si="6"/>
        <v/>
      </c>
      <c r="J171" s="31">
        <f t="shared" si="7"/>
        <v>169</v>
      </c>
    </row>
    <row r="172" spans="2:10" hidden="1">
      <c r="B172" s="31">
        <v>5</v>
      </c>
      <c r="D172" s="31" t="b">
        <v>1</v>
      </c>
      <c r="E172" s="34" t="s">
        <v>378</v>
      </c>
      <c r="F172" s="31" t="s">
        <v>379</v>
      </c>
      <c r="H172" s="40">
        <v>45751</v>
      </c>
      <c r="I172" s="31" t="str">
        <f t="shared" ca="1" si="6"/>
        <v/>
      </c>
      <c r="J172" s="31">
        <f t="shared" si="7"/>
        <v>170</v>
      </c>
    </row>
    <row r="173" spans="2:10" hidden="1">
      <c r="B173" s="31">
        <v>5</v>
      </c>
      <c r="D173" s="31" t="b">
        <v>1</v>
      </c>
      <c r="E173" s="34" t="s">
        <v>380</v>
      </c>
      <c r="F173" s="31" t="s">
        <v>381</v>
      </c>
      <c r="H173" s="40">
        <v>45751</v>
      </c>
      <c r="I173" s="31" t="str">
        <f t="shared" ca="1" si="6"/>
        <v/>
      </c>
      <c r="J173" s="31">
        <f t="shared" si="7"/>
        <v>171</v>
      </c>
    </row>
    <row r="174" spans="2:10" hidden="1">
      <c r="B174" s="31">
        <v>5</v>
      </c>
      <c r="D174" s="31" t="b">
        <v>1</v>
      </c>
      <c r="E174" s="34" t="s">
        <v>382</v>
      </c>
      <c r="F174" s="31" t="s">
        <v>383</v>
      </c>
      <c r="H174" s="40">
        <v>45751</v>
      </c>
      <c r="I174" s="31" t="str">
        <f t="shared" ca="1" si="6"/>
        <v/>
      </c>
      <c r="J174" s="31">
        <f t="shared" si="7"/>
        <v>172</v>
      </c>
    </row>
    <row r="175" spans="2:10" hidden="1">
      <c r="B175" s="31">
        <v>5</v>
      </c>
      <c r="D175" s="31" t="b">
        <v>1</v>
      </c>
      <c r="E175" s="34" t="s">
        <v>384</v>
      </c>
      <c r="F175" s="31" t="s">
        <v>385</v>
      </c>
      <c r="H175" s="40">
        <v>45751</v>
      </c>
      <c r="I175" s="31" t="str">
        <f t="shared" ca="1" si="6"/>
        <v/>
      </c>
      <c r="J175" s="31">
        <f t="shared" si="7"/>
        <v>173</v>
      </c>
    </row>
    <row r="176" spans="2:10" hidden="1">
      <c r="B176" s="31">
        <v>5</v>
      </c>
      <c r="D176" s="31" t="b">
        <v>1</v>
      </c>
      <c r="E176" s="34" t="s">
        <v>386</v>
      </c>
      <c r="F176" s="31" t="s">
        <v>387</v>
      </c>
      <c r="H176" s="40">
        <v>45751</v>
      </c>
      <c r="I176" s="31" t="str">
        <f t="shared" ca="1" si="6"/>
        <v/>
      </c>
      <c r="J176" s="31">
        <f t="shared" si="7"/>
        <v>174</v>
      </c>
    </row>
    <row r="177" spans="2:10" hidden="1">
      <c r="B177" s="31">
        <v>5</v>
      </c>
      <c r="D177" s="31" t="b">
        <v>1</v>
      </c>
      <c r="E177" s="34" t="s">
        <v>388</v>
      </c>
      <c r="F177" s="31" t="s">
        <v>389</v>
      </c>
      <c r="H177" s="40">
        <v>45751</v>
      </c>
      <c r="I177" s="31" t="str">
        <f t="shared" ca="1" si="6"/>
        <v/>
      </c>
      <c r="J177" s="31">
        <f t="shared" si="7"/>
        <v>175</v>
      </c>
    </row>
    <row r="178" spans="2:10" hidden="1">
      <c r="B178" s="35">
        <v>5</v>
      </c>
      <c r="C178" s="31" t="s">
        <v>116</v>
      </c>
      <c r="D178" s="35" t="b">
        <v>1</v>
      </c>
      <c r="E178" s="34" t="s">
        <v>390</v>
      </c>
      <c r="F178" s="31" t="s">
        <v>391</v>
      </c>
      <c r="H178" s="40">
        <v>45722</v>
      </c>
      <c r="I178" s="31" t="str">
        <f t="shared" ca="1" si="6"/>
        <v>●</v>
      </c>
      <c r="J178" s="31">
        <f t="shared" si="7"/>
        <v>176</v>
      </c>
    </row>
    <row r="179" spans="2:10" hidden="1">
      <c r="B179" s="31">
        <v>5</v>
      </c>
      <c r="D179" s="31" t="b">
        <v>1</v>
      </c>
      <c r="E179" s="34" t="s">
        <v>392</v>
      </c>
      <c r="F179" s="31" t="s">
        <v>393</v>
      </c>
      <c r="H179" s="40">
        <v>45751</v>
      </c>
      <c r="I179" s="31" t="str">
        <f t="shared" ca="1" si="6"/>
        <v/>
      </c>
      <c r="J179" s="31">
        <f t="shared" si="7"/>
        <v>177</v>
      </c>
    </row>
    <row r="180" spans="2:10">
      <c r="B180" s="35">
        <v>5</v>
      </c>
      <c r="C180" s="31" t="s">
        <v>116</v>
      </c>
      <c r="D180" s="35" t="b">
        <v>0</v>
      </c>
      <c r="E180" s="34" t="s">
        <v>394</v>
      </c>
      <c r="F180" s="31" t="s">
        <v>395</v>
      </c>
      <c r="H180" s="40">
        <v>45722</v>
      </c>
      <c r="I180" s="31" t="str">
        <f t="shared" ca="1" si="6"/>
        <v>●</v>
      </c>
      <c r="J180" s="31">
        <f t="shared" si="7"/>
        <v>178</v>
      </c>
    </row>
    <row r="181" spans="2:10" hidden="1">
      <c r="B181" s="31">
        <v>4</v>
      </c>
      <c r="D181" s="31" t="b">
        <v>1</v>
      </c>
      <c r="E181" s="34" t="s">
        <v>396</v>
      </c>
      <c r="F181" s="31" t="s">
        <v>397</v>
      </c>
      <c r="H181" s="40">
        <v>45735</v>
      </c>
      <c r="I181" s="31" t="str">
        <f t="shared" ca="1" si="6"/>
        <v>●</v>
      </c>
      <c r="J181" s="31">
        <f t="shared" si="7"/>
        <v>179</v>
      </c>
    </row>
    <row r="182" spans="2:10" hidden="1">
      <c r="B182" s="31">
        <v>4</v>
      </c>
      <c r="D182" s="31" t="b">
        <v>1</v>
      </c>
      <c r="E182" s="34" t="s">
        <v>398</v>
      </c>
      <c r="F182" s="31" t="s">
        <v>399</v>
      </c>
      <c r="H182" s="40">
        <v>45735</v>
      </c>
      <c r="I182" s="31" t="str">
        <f t="shared" ca="1" si="6"/>
        <v>●</v>
      </c>
      <c r="J182" s="31">
        <f t="shared" si="7"/>
        <v>180</v>
      </c>
    </row>
    <row r="183" spans="2:10" hidden="1">
      <c r="B183" s="31">
        <v>5</v>
      </c>
      <c r="D183" s="31" t="b">
        <v>1</v>
      </c>
      <c r="E183" s="34" t="s">
        <v>400</v>
      </c>
      <c r="F183" s="31" t="s">
        <v>401</v>
      </c>
      <c r="H183" s="40">
        <v>45751</v>
      </c>
      <c r="I183" s="31" t="str">
        <f t="shared" ca="1" si="6"/>
        <v/>
      </c>
      <c r="J183" s="31">
        <f t="shared" si="7"/>
        <v>181</v>
      </c>
    </row>
    <row r="184" spans="2:10" hidden="1">
      <c r="B184" s="31">
        <v>5</v>
      </c>
      <c r="D184" s="31" t="b">
        <v>1</v>
      </c>
      <c r="E184" s="34" t="s">
        <v>402</v>
      </c>
      <c r="F184" s="31" t="s">
        <v>403</v>
      </c>
      <c r="H184" s="40">
        <v>45751</v>
      </c>
      <c r="I184" s="31" t="str">
        <f t="shared" ca="1" si="6"/>
        <v/>
      </c>
      <c r="J184" s="31">
        <f t="shared" si="7"/>
        <v>182</v>
      </c>
    </row>
    <row r="185" spans="2:10" hidden="1">
      <c r="B185" s="31">
        <v>5</v>
      </c>
      <c r="D185" s="31" t="b">
        <v>1</v>
      </c>
      <c r="E185" s="34" t="s">
        <v>404</v>
      </c>
      <c r="F185" s="31" t="s">
        <v>405</v>
      </c>
      <c r="H185" s="40">
        <v>45751</v>
      </c>
      <c r="I185" s="31" t="str">
        <f t="shared" ca="1" si="6"/>
        <v/>
      </c>
      <c r="J185" s="31">
        <f t="shared" si="7"/>
        <v>183</v>
      </c>
    </row>
    <row r="186" spans="2:10" hidden="1">
      <c r="B186" s="31">
        <v>5</v>
      </c>
      <c r="D186" s="31" t="b">
        <v>1</v>
      </c>
      <c r="E186" s="34" t="s">
        <v>406</v>
      </c>
      <c r="F186" s="31" t="s">
        <v>407</v>
      </c>
      <c r="H186" s="40">
        <v>45751</v>
      </c>
      <c r="I186" s="31" t="str">
        <f t="shared" ca="1" si="6"/>
        <v/>
      </c>
      <c r="J186" s="31">
        <f t="shared" si="7"/>
        <v>184</v>
      </c>
    </row>
    <row r="187" spans="2:10" hidden="1">
      <c r="B187" s="31">
        <v>5</v>
      </c>
      <c r="D187" s="31" t="b">
        <v>1</v>
      </c>
      <c r="E187" s="34" t="s">
        <v>408</v>
      </c>
      <c r="F187" s="31" t="s">
        <v>409</v>
      </c>
      <c r="H187" s="40">
        <v>45751</v>
      </c>
      <c r="I187" s="31" t="str">
        <f t="shared" ca="1" si="6"/>
        <v/>
      </c>
      <c r="J187" s="31">
        <f t="shared" si="7"/>
        <v>185</v>
      </c>
    </row>
    <row r="188" spans="2:10" hidden="1">
      <c r="B188" s="31">
        <v>5</v>
      </c>
      <c r="D188" s="31" t="b">
        <v>1</v>
      </c>
      <c r="E188" s="34" t="s">
        <v>410</v>
      </c>
      <c r="F188" s="31" t="s">
        <v>411</v>
      </c>
      <c r="H188" s="40">
        <v>45751</v>
      </c>
      <c r="I188" s="31" t="str">
        <f t="shared" ca="1" si="6"/>
        <v/>
      </c>
      <c r="J188" s="31">
        <f t="shared" si="7"/>
        <v>186</v>
      </c>
    </row>
    <row r="189" spans="2:10" hidden="1">
      <c r="B189" s="31">
        <v>5</v>
      </c>
      <c r="D189" s="35" t="b">
        <v>1</v>
      </c>
      <c r="E189" s="34" t="s">
        <v>71</v>
      </c>
      <c r="F189" s="31" t="s">
        <v>412</v>
      </c>
      <c r="H189" s="40">
        <v>45751</v>
      </c>
      <c r="I189" s="31" t="str">
        <f t="shared" ca="1" si="6"/>
        <v/>
      </c>
      <c r="J189" s="31">
        <f t="shared" si="7"/>
        <v>187</v>
      </c>
    </row>
    <row r="190" spans="2:10" hidden="1">
      <c r="B190" s="31">
        <v>5</v>
      </c>
      <c r="D190" s="35" t="b">
        <v>1</v>
      </c>
      <c r="E190" s="34" t="s">
        <v>413</v>
      </c>
      <c r="F190" s="31" t="s">
        <v>414</v>
      </c>
      <c r="H190" s="40">
        <v>45751</v>
      </c>
      <c r="I190" s="31" t="str">
        <f t="shared" ca="1" si="6"/>
        <v/>
      </c>
      <c r="J190" s="31">
        <f t="shared" si="7"/>
        <v>188</v>
      </c>
    </row>
    <row r="191" spans="2:10">
      <c r="B191" s="35">
        <v>5</v>
      </c>
      <c r="C191" s="31" t="s">
        <v>116</v>
      </c>
      <c r="D191" s="35" t="b">
        <v>1</v>
      </c>
      <c r="E191" s="34" t="s">
        <v>415</v>
      </c>
      <c r="F191" s="31" t="s">
        <v>416</v>
      </c>
      <c r="H191" s="40">
        <v>45722</v>
      </c>
      <c r="I191" s="31" t="str">
        <f t="shared" ca="1" si="6"/>
        <v>●</v>
      </c>
      <c r="J191" s="31">
        <f t="shared" si="7"/>
        <v>189</v>
      </c>
    </row>
    <row r="192" spans="2:10" hidden="1">
      <c r="B192" s="31">
        <v>4</v>
      </c>
      <c r="D192" s="35" t="b">
        <v>1</v>
      </c>
      <c r="E192" s="34" t="s">
        <v>417</v>
      </c>
      <c r="F192" s="31" t="s">
        <v>418</v>
      </c>
      <c r="H192" s="40">
        <v>45735</v>
      </c>
      <c r="I192" s="31" t="str">
        <f t="shared" ca="1" si="6"/>
        <v>●</v>
      </c>
      <c r="J192" s="31">
        <f t="shared" si="7"/>
        <v>190</v>
      </c>
    </row>
    <row r="193" spans="2:10">
      <c r="B193" s="35">
        <v>5</v>
      </c>
      <c r="C193" s="31" t="s">
        <v>116</v>
      </c>
      <c r="D193" s="35" t="b">
        <v>0</v>
      </c>
      <c r="E193" s="34" t="s">
        <v>419</v>
      </c>
      <c r="F193" s="31" t="s">
        <v>420</v>
      </c>
      <c r="H193" s="40">
        <v>45722</v>
      </c>
      <c r="I193" s="31" t="str">
        <f t="shared" ca="1" si="6"/>
        <v>●</v>
      </c>
      <c r="J193" s="31">
        <f t="shared" si="7"/>
        <v>191</v>
      </c>
    </row>
    <row r="194" spans="2:10" hidden="1">
      <c r="B194" s="31">
        <v>5</v>
      </c>
      <c r="D194" s="35" t="b">
        <v>1</v>
      </c>
      <c r="E194" s="34" t="s">
        <v>421</v>
      </c>
      <c r="F194" s="31" t="s">
        <v>422</v>
      </c>
      <c r="H194" s="40">
        <v>45751</v>
      </c>
      <c r="I194" s="31" t="str">
        <f t="shared" ca="1" si="6"/>
        <v/>
      </c>
      <c r="J194" s="31">
        <f t="shared" si="7"/>
        <v>192</v>
      </c>
    </row>
    <row r="195" spans="2:10" hidden="1">
      <c r="B195" s="35">
        <v>5</v>
      </c>
      <c r="C195" s="31" t="s">
        <v>116</v>
      </c>
      <c r="D195" s="35" t="b">
        <v>0</v>
      </c>
      <c r="E195" s="34" t="s">
        <v>423</v>
      </c>
      <c r="F195" s="31" t="s">
        <v>424</v>
      </c>
      <c r="H195" s="40">
        <v>45722</v>
      </c>
      <c r="I195" s="31" t="str">
        <f t="shared" ca="1" si="6"/>
        <v>●</v>
      </c>
      <c r="J195" s="31">
        <f t="shared" si="7"/>
        <v>193</v>
      </c>
    </row>
    <row r="196" spans="2:10" hidden="1">
      <c r="B196" s="35">
        <v>5</v>
      </c>
      <c r="C196" s="31" t="s">
        <v>116</v>
      </c>
      <c r="D196" s="35" t="b">
        <v>1</v>
      </c>
      <c r="E196" s="34" t="s">
        <v>425</v>
      </c>
      <c r="F196" s="31" t="s">
        <v>426</v>
      </c>
      <c r="H196" s="40">
        <v>45722</v>
      </c>
      <c r="I196" s="31" t="str">
        <f t="shared" ca="1" si="6"/>
        <v>●</v>
      </c>
      <c r="J196" s="31">
        <f t="shared" si="7"/>
        <v>194</v>
      </c>
    </row>
    <row r="197" spans="2:10" hidden="1">
      <c r="B197" s="35">
        <v>5</v>
      </c>
      <c r="C197" s="31" t="s">
        <v>116</v>
      </c>
      <c r="D197" s="35" t="b">
        <v>1</v>
      </c>
      <c r="E197" s="34" t="s">
        <v>427</v>
      </c>
      <c r="F197" s="31" t="s">
        <v>428</v>
      </c>
      <c r="H197" s="40">
        <v>45722</v>
      </c>
      <c r="I197" s="31" t="str">
        <f t="shared" ca="1" si="6"/>
        <v>●</v>
      </c>
      <c r="J197" s="31">
        <f t="shared" si="7"/>
        <v>195</v>
      </c>
    </row>
    <row r="198" spans="2:10" hidden="1">
      <c r="B198" s="35">
        <v>5</v>
      </c>
      <c r="C198" s="31" t="s">
        <v>116</v>
      </c>
      <c r="D198" s="35" t="b">
        <v>1</v>
      </c>
      <c r="E198" s="34" t="s">
        <v>429</v>
      </c>
      <c r="F198" s="31" t="s">
        <v>430</v>
      </c>
      <c r="H198" s="40">
        <v>45722</v>
      </c>
      <c r="I198" s="31" t="str">
        <f t="shared" ca="1" si="6"/>
        <v>●</v>
      </c>
      <c r="J198" s="31">
        <f t="shared" si="7"/>
        <v>196</v>
      </c>
    </row>
    <row r="199" spans="2:10" hidden="1">
      <c r="B199" s="35">
        <v>5</v>
      </c>
      <c r="C199" s="31" t="s">
        <v>116</v>
      </c>
      <c r="D199" s="35" t="b">
        <v>1</v>
      </c>
      <c r="E199" s="34" t="s">
        <v>431</v>
      </c>
      <c r="F199" s="31" t="s">
        <v>432</v>
      </c>
      <c r="H199" s="40">
        <v>45722</v>
      </c>
      <c r="I199" s="31" t="str">
        <f t="shared" ca="1" si="6"/>
        <v>●</v>
      </c>
      <c r="J199" s="31">
        <f t="shared" si="7"/>
        <v>197</v>
      </c>
    </row>
    <row r="200" spans="2:10" hidden="1">
      <c r="B200" s="35">
        <v>5</v>
      </c>
      <c r="C200" s="31" t="s">
        <v>116</v>
      </c>
      <c r="D200" s="35" t="b">
        <v>1</v>
      </c>
      <c r="E200" s="34" t="s">
        <v>433</v>
      </c>
      <c r="F200" s="31" t="s">
        <v>434</v>
      </c>
      <c r="H200" s="40">
        <v>45722</v>
      </c>
      <c r="I200" s="31" t="str">
        <f t="shared" ca="1" si="6"/>
        <v>●</v>
      </c>
      <c r="J200" s="31">
        <f t="shared" si="7"/>
        <v>198</v>
      </c>
    </row>
    <row r="201" spans="2:10" hidden="1">
      <c r="B201" s="35">
        <v>5</v>
      </c>
      <c r="C201" s="31" t="s">
        <v>116</v>
      </c>
      <c r="D201" s="35" t="b">
        <v>1</v>
      </c>
      <c r="E201" s="34" t="s">
        <v>435</v>
      </c>
      <c r="F201" s="31" t="s">
        <v>436</v>
      </c>
      <c r="H201" s="40">
        <v>45722</v>
      </c>
      <c r="I201" s="31" t="str">
        <f t="shared" ca="1" si="6"/>
        <v>●</v>
      </c>
      <c r="J201" s="31">
        <f t="shared" si="7"/>
        <v>199</v>
      </c>
    </row>
    <row r="202" spans="2:10" hidden="1">
      <c r="B202" s="35">
        <v>5</v>
      </c>
      <c r="C202" s="31" t="s">
        <v>116</v>
      </c>
      <c r="D202" s="35" t="b">
        <v>1</v>
      </c>
      <c r="E202" s="34" t="s">
        <v>437</v>
      </c>
      <c r="F202" s="31" t="s">
        <v>438</v>
      </c>
      <c r="H202" s="40">
        <v>45722</v>
      </c>
      <c r="I202" s="31" t="str">
        <f t="shared" ca="1" si="6"/>
        <v>●</v>
      </c>
      <c r="J202" s="31">
        <f t="shared" si="7"/>
        <v>200</v>
      </c>
    </row>
    <row r="203" spans="2:10" hidden="1">
      <c r="B203" s="35">
        <v>5</v>
      </c>
      <c r="C203" s="31" t="s">
        <v>116</v>
      </c>
      <c r="D203" s="35" t="b">
        <v>1</v>
      </c>
      <c r="E203" s="34" t="s">
        <v>439</v>
      </c>
      <c r="F203" s="31" t="s">
        <v>440</v>
      </c>
      <c r="H203" s="40">
        <v>45722</v>
      </c>
      <c r="I203" s="31" t="str">
        <f t="shared" ca="1" si="6"/>
        <v>●</v>
      </c>
      <c r="J203" s="31">
        <f t="shared" si="7"/>
        <v>201</v>
      </c>
    </row>
    <row r="204" spans="2:10" hidden="1">
      <c r="B204" s="35">
        <v>5</v>
      </c>
      <c r="C204" s="31" t="s">
        <v>116</v>
      </c>
      <c r="D204" s="35" t="b">
        <v>1</v>
      </c>
      <c r="E204" s="34" t="s">
        <v>441</v>
      </c>
      <c r="F204" s="31" t="s">
        <v>442</v>
      </c>
      <c r="H204" s="40">
        <v>45722</v>
      </c>
      <c r="I204" s="31" t="str">
        <f t="shared" ca="1" si="6"/>
        <v>●</v>
      </c>
      <c r="J204" s="31">
        <f t="shared" si="7"/>
        <v>202</v>
      </c>
    </row>
    <row r="205" spans="2:10" hidden="1">
      <c r="B205" s="35">
        <v>5</v>
      </c>
      <c r="C205" s="31" t="s">
        <v>116</v>
      </c>
      <c r="D205" s="35" t="b">
        <v>1</v>
      </c>
      <c r="E205" s="34" t="s">
        <v>443</v>
      </c>
      <c r="F205" s="31" t="s">
        <v>444</v>
      </c>
      <c r="H205" s="40">
        <v>45722</v>
      </c>
      <c r="I205" s="31" t="str">
        <f t="shared" ca="1" si="6"/>
        <v>●</v>
      </c>
      <c r="J205" s="31">
        <f t="shared" si="7"/>
        <v>203</v>
      </c>
    </row>
    <row r="206" spans="2:10" hidden="1">
      <c r="B206" s="35">
        <v>5</v>
      </c>
      <c r="C206" s="31" t="s">
        <v>116</v>
      </c>
      <c r="D206" s="35" t="b">
        <v>1</v>
      </c>
      <c r="E206" s="34" t="s">
        <v>445</v>
      </c>
      <c r="F206" s="31" t="s">
        <v>446</v>
      </c>
      <c r="H206" s="40">
        <v>45722</v>
      </c>
      <c r="I206" s="31" t="str">
        <f t="shared" ca="1" si="6"/>
        <v>●</v>
      </c>
      <c r="J206" s="31">
        <f t="shared" si="7"/>
        <v>204</v>
      </c>
    </row>
    <row r="207" spans="2:10" hidden="1">
      <c r="B207" s="35">
        <v>5</v>
      </c>
      <c r="C207" s="31" t="s">
        <v>116</v>
      </c>
      <c r="D207" s="35" t="b">
        <v>1</v>
      </c>
      <c r="E207" s="34" t="s">
        <v>447</v>
      </c>
      <c r="F207" s="31" t="s">
        <v>448</v>
      </c>
      <c r="H207" s="40">
        <v>45722</v>
      </c>
      <c r="I207" s="31" t="str">
        <f t="shared" ca="1" si="6"/>
        <v>●</v>
      </c>
      <c r="J207" s="31">
        <f t="shared" si="7"/>
        <v>205</v>
      </c>
    </row>
    <row r="208" spans="2:10" hidden="1">
      <c r="B208" s="35">
        <v>5</v>
      </c>
      <c r="C208" s="31" t="s">
        <v>116</v>
      </c>
      <c r="D208" s="35" t="b">
        <v>1</v>
      </c>
      <c r="E208" s="34" t="s">
        <v>449</v>
      </c>
      <c r="F208" s="31" t="s">
        <v>450</v>
      </c>
      <c r="H208" s="40">
        <v>45722</v>
      </c>
      <c r="I208" s="31" t="str">
        <f t="shared" ca="1" si="6"/>
        <v>●</v>
      </c>
      <c r="J208" s="31">
        <f t="shared" si="7"/>
        <v>206</v>
      </c>
    </row>
    <row r="209" spans="2:10" hidden="1">
      <c r="B209" s="35">
        <v>5</v>
      </c>
      <c r="C209" s="31" t="s">
        <v>116</v>
      </c>
      <c r="D209" s="35" t="b">
        <v>1</v>
      </c>
      <c r="E209" s="34" t="s">
        <v>451</v>
      </c>
      <c r="F209" s="31" t="s">
        <v>452</v>
      </c>
      <c r="H209" s="40">
        <v>45722</v>
      </c>
      <c r="I209" s="31" t="str">
        <f t="shared" ca="1" si="6"/>
        <v>●</v>
      </c>
      <c r="J209" s="31">
        <f t="shared" si="7"/>
        <v>207</v>
      </c>
    </row>
    <row r="210" spans="2:10" hidden="1">
      <c r="B210" s="35">
        <v>5</v>
      </c>
      <c r="C210" s="31" t="s">
        <v>116</v>
      </c>
      <c r="D210" s="35" t="b">
        <v>1</v>
      </c>
      <c r="E210" s="34" t="s">
        <v>453</v>
      </c>
      <c r="F210" s="31" t="s">
        <v>454</v>
      </c>
      <c r="H210" s="40">
        <v>45722</v>
      </c>
      <c r="I210" s="31" t="str">
        <f t="shared" ref="I210:I273" ca="1" si="8">IF(H210-$G$1&lt;=0,"●","")</f>
        <v>●</v>
      </c>
      <c r="J210" s="31">
        <f t="shared" ref="J210:J273" si="9">ROW()-2</f>
        <v>208</v>
      </c>
    </row>
    <row r="211" spans="2:10" hidden="1">
      <c r="B211" s="35">
        <v>5</v>
      </c>
      <c r="C211" s="31" t="s">
        <v>116</v>
      </c>
      <c r="D211" s="35" t="b">
        <v>1</v>
      </c>
      <c r="E211" s="34" t="s">
        <v>455</v>
      </c>
      <c r="F211" s="31" t="s">
        <v>456</v>
      </c>
      <c r="H211" s="40">
        <v>45722</v>
      </c>
      <c r="I211" s="31" t="str">
        <f t="shared" ca="1" si="8"/>
        <v>●</v>
      </c>
      <c r="J211" s="31">
        <f t="shared" si="9"/>
        <v>209</v>
      </c>
    </row>
    <row r="212" spans="2:10" hidden="1">
      <c r="B212" s="35">
        <v>5</v>
      </c>
      <c r="C212" s="31" t="s">
        <v>116</v>
      </c>
      <c r="D212" s="35" t="b">
        <v>0</v>
      </c>
      <c r="E212" s="34" t="s">
        <v>457</v>
      </c>
      <c r="F212" s="31" t="s">
        <v>458</v>
      </c>
      <c r="H212" s="40">
        <v>45722</v>
      </c>
      <c r="I212" s="31" t="str">
        <f t="shared" ca="1" si="8"/>
        <v>●</v>
      </c>
      <c r="J212" s="31">
        <f t="shared" si="9"/>
        <v>210</v>
      </c>
    </row>
    <row r="213" spans="2:10" hidden="1">
      <c r="B213" s="35">
        <v>5</v>
      </c>
      <c r="C213" s="31" t="s">
        <v>116</v>
      </c>
      <c r="D213" s="35" t="b">
        <v>1</v>
      </c>
      <c r="E213" s="34" t="s">
        <v>459</v>
      </c>
      <c r="F213" s="31" t="s">
        <v>460</v>
      </c>
      <c r="H213" s="40">
        <v>45722</v>
      </c>
      <c r="I213" s="31" t="str">
        <f t="shared" ca="1" si="8"/>
        <v>●</v>
      </c>
      <c r="J213" s="31">
        <f t="shared" si="9"/>
        <v>211</v>
      </c>
    </row>
    <row r="214" spans="2:10" hidden="1">
      <c r="B214" s="35">
        <v>5</v>
      </c>
      <c r="C214" s="31" t="s">
        <v>116</v>
      </c>
      <c r="D214" s="35" t="b">
        <v>1</v>
      </c>
      <c r="E214" s="34" t="s">
        <v>461</v>
      </c>
      <c r="F214" s="31" t="s">
        <v>462</v>
      </c>
      <c r="H214" s="40">
        <v>45722</v>
      </c>
      <c r="I214" s="31" t="str">
        <f t="shared" ca="1" si="8"/>
        <v>●</v>
      </c>
      <c r="J214" s="31">
        <f t="shared" si="9"/>
        <v>212</v>
      </c>
    </row>
    <row r="215" spans="2:10" hidden="1">
      <c r="B215" s="35">
        <v>5</v>
      </c>
      <c r="C215" s="31" t="s">
        <v>116</v>
      </c>
      <c r="D215" s="35" t="b">
        <v>1</v>
      </c>
      <c r="E215" s="34" t="s">
        <v>463</v>
      </c>
      <c r="F215" s="31" t="s">
        <v>464</v>
      </c>
      <c r="H215" s="40">
        <v>45722</v>
      </c>
      <c r="I215" s="31" t="str">
        <f t="shared" ca="1" si="8"/>
        <v>●</v>
      </c>
      <c r="J215" s="31">
        <f t="shared" si="9"/>
        <v>213</v>
      </c>
    </row>
    <row r="216" spans="2:10" hidden="1">
      <c r="B216" s="35">
        <v>5</v>
      </c>
      <c r="C216" s="31" t="s">
        <v>116</v>
      </c>
      <c r="D216" s="35" t="b">
        <v>1</v>
      </c>
      <c r="E216" s="34" t="s">
        <v>465</v>
      </c>
      <c r="F216" s="31" t="s">
        <v>466</v>
      </c>
      <c r="H216" s="40">
        <v>45722</v>
      </c>
      <c r="I216" s="31" t="str">
        <f t="shared" ca="1" si="8"/>
        <v>●</v>
      </c>
      <c r="J216" s="31">
        <f t="shared" si="9"/>
        <v>214</v>
      </c>
    </row>
    <row r="217" spans="2:10" hidden="1">
      <c r="B217" s="35">
        <v>5</v>
      </c>
      <c r="C217" s="31" t="s">
        <v>116</v>
      </c>
      <c r="D217" s="35" t="b">
        <v>1</v>
      </c>
      <c r="E217" s="34" t="s">
        <v>467</v>
      </c>
      <c r="F217" s="31" t="s">
        <v>468</v>
      </c>
      <c r="H217" s="40">
        <v>45722</v>
      </c>
      <c r="I217" s="31" t="str">
        <f t="shared" ca="1" si="8"/>
        <v>●</v>
      </c>
      <c r="J217" s="31">
        <f t="shared" si="9"/>
        <v>215</v>
      </c>
    </row>
    <row r="218" spans="2:10" hidden="1">
      <c r="B218" s="35">
        <v>5</v>
      </c>
      <c r="C218" s="31" t="s">
        <v>116</v>
      </c>
      <c r="D218" s="35" t="b">
        <v>1</v>
      </c>
      <c r="E218" s="34" t="s">
        <v>469</v>
      </c>
      <c r="F218" s="31" t="s">
        <v>470</v>
      </c>
      <c r="H218" s="40">
        <v>45722</v>
      </c>
      <c r="I218" s="31" t="str">
        <f t="shared" ca="1" si="8"/>
        <v>●</v>
      </c>
      <c r="J218" s="31">
        <f t="shared" si="9"/>
        <v>216</v>
      </c>
    </row>
    <row r="219" spans="2:10" hidden="1">
      <c r="B219" s="35">
        <v>5</v>
      </c>
      <c r="C219" s="31" t="s">
        <v>116</v>
      </c>
      <c r="D219" s="35" t="b">
        <v>1</v>
      </c>
      <c r="E219" s="34" t="s">
        <v>471</v>
      </c>
      <c r="F219" s="31" t="s">
        <v>472</v>
      </c>
      <c r="H219" s="40">
        <v>45722</v>
      </c>
      <c r="I219" s="31" t="str">
        <f t="shared" ca="1" si="8"/>
        <v>●</v>
      </c>
      <c r="J219" s="31">
        <f t="shared" si="9"/>
        <v>217</v>
      </c>
    </row>
    <row r="220" spans="2:10" hidden="1">
      <c r="B220" s="35">
        <v>5</v>
      </c>
      <c r="C220" s="31" t="s">
        <v>116</v>
      </c>
      <c r="D220" s="35" t="b">
        <v>1</v>
      </c>
      <c r="E220" s="34" t="s">
        <v>473</v>
      </c>
      <c r="F220" s="31" t="s">
        <v>474</v>
      </c>
      <c r="H220" s="40">
        <v>45722</v>
      </c>
      <c r="I220" s="31" t="str">
        <f t="shared" ca="1" si="8"/>
        <v>●</v>
      </c>
      <c r="J220" s="31">
        <f t="shared" si="9"/>
        <v>218</v>
      </c>
    </row>
    <row r="221" spans="2:10" hidden="1">
      <c r="B221" s="35">
        <v>5</v>
      </c>
      <c r="C221" s="31" t="s">
        <v>116</v>
      </c>
      <c r="D221" s="35" t="b">
        <v>1</v>
      </c>
      <c r="E221" s="34" t="s">
        <v>475</v>
      </c>
      <c r="F221" s="31" t="s">
        <v>476</v>
      </c>
      <c r="H221" s="40">
        <v>45722</v>
      </c>
      <c r="I221" s="31" t="str">
        <f t="shared" ca="1" si="8"/>
        <v>●</v>
      </c>
      <c r="J221" s="31">
        <f t="shared" si="9"/>
        <v>219</v>
      </c>
    </row>
    <row r="222" spans="2:10" hidden="1">
      <c r="B222" s="35">
        <v>5</v>
      </c>
      <c r="C222" s="31" t="s">
        <v>116</v>
      </c>
      <c r="D222" s="35" t="b">
        <v>1</v>
      </c>
      <c r="E222" s="34" t="s">
        <v>477</v>
      </c>
      <c r="F222" s="31" t="s">
        <v>478</v>
      </c>
      <c r="H222" s="40">
        <v>45722</v>
      </c>
      <c r="I222" s="31" t="str">
        <f t="shared" ca="1" si="8"/>
        <v>●</v>
      </c>
      <c r="J222" s="31">
        <f t="shared" si="9"/>
        <v>220</v>
      </c>
    </row>
    <row r="223" spans="2:10" hidden="1">
      <c r="B223" s="35">
        <v>5</v>
      </c>
      <c r="C223" s="31" t="s">
        <v>116</v>
      </c>
      <c r="D223" s="35" t="b">
        <v>1</v>
      </c>
      <c r="E223" s="34" t="s">
        <v>479</v>
      </c>
      <c r="F223" s="31" t="s">
        <v>480</v>
      </c>
      <c r="H223" s="40">
        <v>45722</v>
      </c>
      <c r="I223" s="31" t="str">
        <f t="shared" ca="1" si="8"/>
        <v>●</v>
      </c>
      <c r="J223" s="31">
        <f t="shared" si="9"/>
        <v>221</v>
      </c>
    </row>
    <row r="224" spans="2:10" hidden="1">
      <c r="B224" s="35">
        <v>5</v>
      </c>
      <c r="C224" s="31" t="s">
        <v>116</v>
      </c>
      <c r="D224" s="35" t="b">
        <v>1</v>
      </c>
      <c r="E224" s="34" t="s">
        <v>481</v>
      </c>
      <c r="F224" s="31" t="s">
        <v>482</v>
      </c>
      <c r="H224" s="40">
        <v>45722</v>
      </c>
      <c r="I224" s="31" t="str">
        <f t="shared" ca="1" si="8"/>
        <v>●</v>
      </c>
      <c r="J224" s="31">
        <f t="shared" si="9"/>
        <v>222</v>
      </c>
    </row>
    <row r="225" spans="2:10" hidden="1">
      <c r="B225" s="35">
        <v>5</v>
      </c>
      <c r="C225" s="31" t="s">
        <v>116</v>
      </c>
      <c r="D225" s="35" t="b">
        <v>1</v>
      </c>
      <c r="E225" s="34" t="s">
        <v>483</v>
      </c>
      <c r="F225" s="31" t="s">
        <v>484</v>
      </c>
      <c r="H225" s="40">
        <v>45722</v>
      </c>
      <c r="I225" s="31" t="str">
        <f t="shared" ca="1" si="8"/>
        <v>●</v>
      </c>
      <c r="J225" s="31">
        <f t="shared" si="9"/>
        <v>223</v>
      </c>
    </row>
    <row r="226" spans="2:10" hidden="1">
      <c r="B226" s="35">
        <v>5</v>
      </c>
      <c r="C226" s="31" t="s">
        <v>116</v>
      </c>
      <c r="D226" s="35" t="b">
        <v>1</v>
      </c>
      <c r="E226" s="34" t="s">
        <v>485</v>
      </c>
      <c r="F226" s="31" t="s">
        <v>486</v>
      </c>
      <c r="H226" s="40">
        <v>45722</v>
      </c>
      <c r="I226" s="31" t="str">
        <f t="shared" ca="1" si="8"/>
        <v>●</v>
      </c>
      <c r="J226" s="31">
        <f t="shared" si="9"/>
        <v>224</v>
      </c>
    </row>
    <row r="227" spans="2:10" hidden="1">
      <c r="B227" s="35">
        <v>5</v>
      </c>
      <c r="C227" s="31" t="s">
        <v>116</v>
      </c>
      <c r="D227" s="35" t="b">
        <v>1</v>
      </c>
      <c r="E227" s="34" t="s">
        <v>487</v>
      </c>
      <c r="F227" s="31" t="s">
        <v>488</v>
      </c>
      <c r="H227" s="40">
        <v>45722</v>
      </c>
      <c r="I227" s="31" t="str">
        <f t="shared" ca="1" si="8"/>
        <v>●</v>
      </c>
      <c r="J227" s="31">
        <f t="shared" si="9"/>
        <v>225</v>
      </c>
    </row>
    <row r="228" spans="2:10" hidden="1">
      <c r="B228" s="35">
        <v>5</v>
      </c>
      <c r="C228" s="31" t="s">
        <v>116</v>
      </c>
      <c r="D228" s="35" t="b">
        <v>1</v>
      </c>
      <c r="E228" s="34" t="s">
        <v>489</v>
      </c>
      <c r="F228" s="31" t="s">
        <v>490</v>
      </c>
      <c r="H228" s="40">
        <v>45722</v>
      </c>
      <c r="I228" s="31" t="str">
        <f t="shared" ca="1" si="8"/>
        <v>●</v>
      </c>
      <c r="J228" s="31">
        <f t="shared" si="9"/>
        <v>226</v>
      </c>
    </row>
    <row r="229" spans="2:10" hidden="1">
      <c r="B229" s="35">
        <v>5</v>
      </c>
      <c r="C229" s="31" t="s">
        <v>116</v>
      </c>
      <c r="D229" s="35" t="b">
        <v>1</v>
      </c>
      <c r="E229" s="34" t="s">
        <v>491</v>
      </c>
      <c r="F229" s="31" t="s">
        <v>492</v>
      </c>
      <c r="H229" s="40">
        <v>45722</v>
      </c>
      <c r="I229" s="31" t="str">
        <f t="shared" ca="1" si="8"/>
        <v>●</v>
      </c>
      <c r="J229" s="31">
        <f t="shared" si="9"/>
        <v>227</v>
      </c>
    </row>
    <row r="230" spans="2:10" hidden="1">
      <c r="B230" s="35">
        <v>5</v>
      </c>
      <c r="C230" s="31" t="s">
        <v>116</v>
      </c>
      <c r="D230" s="35" t="b">
        <v>0</v>
      </c>
      <c r="E230" s="34" t="s">
        <v>493</v>
      </c>
      <c r="F230" s="31" t="s">
        <v>494</v>
      </c>
      <c r="H230" s="40">
        <v>45722</v>
      </c>
      <c r="I230" s="31" t="str">
        <f t="shared" ca="1" si="8"/>
        <v>●</v>
      </c>
      <c r="J230" s="31">
        <f t="shared" si="9"/>
        <v>228</v>
      </c>
    </row>
    <row r="231" spans="2:10" hidden="1">
      <c r="B231" s="35">
        <v>5</v>
      </c>
      <c r="C231" s="31" t="s">
        <v>116</v>
      </c>
      <c r="D231" s="35" t="b">
        <v>1</v>
      </c>
      <c r="E231" s="34" t="s">
        <v>495</v>
      </c>
      <c r="F231" s="31" t="s">
        <v>496</v>
      </c>
      <c r="H231" s="40">
        <v>45722</v>
      </c>
      <c r="I231" s="31" t="str">
        <f t="shared" ca="1" si="8"/>
        <v>●</v>
      </c>
      <c r="J231" s="31">
        <f t="shared" si="9"/>
        <v>229</v>
      </c>
    </row>
    <row r="232" spans="2:10" hidden="1">
      <c r="B232" s="35">
        <v>5</v>
      </c>
      <c r="C232" s="31" t="s">
        <v>116</v>
      </c>
      <c r="D232" s="35" t="b">
        <v>1</v>
      </c>
      <c r="E232" s="34" t="s">
        <v>497</v>
      </c>
      <c r="F232" s="31" t="s">
        <v>498</v>
      </c>
      <c r="H232" s="40">
        <v>45722</v>
      </c>
      <c r="I232" s="31" t="str">
        <f t="shared" ca="1" si="8"/>
        <v>●</v>
      </c>
      <c r="J232" s="31">
        <f t="shared" si="9"/>
        <v>230</v>
      </c>
    </row>
    <row r="233" spans="2:10" hidden="1">
      <c r="B233" s="35">
        <v>5</v>
      </c>
      <c r="C233" s="31" t="s">
        <v>116</v>
      </c>
      <c r="D233" s="35" t="b">
        <v>1</v>
      </c>
      <c r="E233" s="34" t="s">
        <v>499</v>
      </c>
      <c r="F233" s="31" t="s">
        <v>500</v>
      </c>
      <c r="H233" s="40">
        <v>45722</v>
      </c>
      <c r="I233" s="31" t="str">
        <f t="shared" ca="1" si="8"/>
        <v>●</v>
      </c>
      <c r="J233" s="31">
        <f t="shared" si="9"/>
        <v>231</v>
      </c>
    </row>
    <row r="234" spans="2:10" hidden="1">
      <c r="B234" s="35">
        <v>5</v>
      </c>
      <c r="C234" s="31" t="s">
        <v>116</v>
      </c>
      <c r="D234" s="35" t="b">
        <v>1</v>
      </c>
      <c r="E234" s="34" t="s">
        <v>501</v>
      </c>
      <c r="F234" s="31" t="s">
        <v>502</v>
      </c>
      <c r="H234" s="40">
        <v>45722</v>
      </c>
      <c r="I234" s="31" t="str">
        <f t="shared" ca="1" si="8"/>
        <v>●</v>
      </c>
      <c r="J234" s="31">
        <f t="shared" si="9"/>
        <v>232</v>
      </c>
    </row>
    <row r="235" spans="2:10" hidden="1">
      <c r="B235" s="35">
        <v>5</v>
      </c>
      <c r="C235" s="31" t="s">
        <v>116</v>
      </c>
      <c r="D235" s="35" t="b">
        <v>1</v>
      </c>
      <c r="E235" s="34" t="s">
        <v>459</v>
      </c>
      <c r="F235" s="31" t="s">
        <v>503</v>
      </c>
      <c r="H235" s="40">
        <v>45722</v>
      </c>
      <c r="I235" s="31" t="str">
        <f t="shared" ca="1" si="8"/>
        <v>●</v>
      </c>
      <c r="J235" s="31">
        <f t="shared" si="9"/>
        <v>233</v>
      </c>
    </row>
    <row r="236" spans="2:10" hidden="1">
      <c r="B236" s="35">
        <v>5</v>
      </c>
      <c r="C236" s="31" t="s">
        <v>116</v>
      </c>
      <c r="D236" s="35" t="b">
        <v>1</v>
      </c>
      <c r="E236" s="34" t="s">
        <v>504</v>
      </c>
      <c r="F236" s="31" t="s">
        <v>505</v>
      </c>
      <c r="H236" s="40">
        <v>45722</v>
      </c>
      <c r="I236" s="31" t="str">
        <f t="shared" ca="1" si="8"/>
        <v>●</v>
      </c>
      <c r="J236" s="31">
        <f t="shared" si="9"/>
        <v>234</v>
      </c>
    </row>
    <row r="237" spans="2:10" hidden="1">
      <c r="B237" s="35">
        <v>5</v>
      </c>
      <c r="C237" s="31" t="s">
        <v>116</v>
      </c>
      <c r="D237" s="35" t="b">
        <v>1</v>
      </c>
      <c r="E237" s="34" t="s">
        <v>506</v>
      </c>
      <c r="F237" s="31" t="s">
        <v>507</v>
      </c>
      <c r="H237" s="40">
        <v>45722</v>
      </c>
      <c r="I237" s="31" t="str">
        <f t="shared" ca="1" si="8"/>
        <v>●</v>
      </c>
      <c r="J237" s="31">
        <f t="shared" si="9"/>
        <v>235</v>
      </c>
    </row>
    <row r="238" spans="2:10" hidden="1">
      <c r="B238" s="35">
        <v>5</v>
      </c>
      <c r="C238" s="31" t="s">
        <v>116</v>
      </c>
      <c r="D238" s="35" t="b">
        <v>1</v>
      </c>
      <c r="E238" s="34" t="s">
        <v>508</v>
      </c>
      <c r="F238" s="31" t="s">
        <v>509</v>
      </c>
      <c r="H238" s="40">
        <v>45722</v>
      </c>
      <c r="I238" s="31" t="str">
        <f t="shared" ca="1" si="8"/>
        <v>●</v>
      </c>
      <c r="J238" s="31">
        <f t="shared" si="9"/>
        <v>236</v>
      </c>
    </row>
    <row r="239" spans="2:10" hidden="1">
      <c r="B239" s="35">
        <v>5</v>
      </c>
      <c r="C239" s="31" t="s">
        <v>116</v>
      </c>
      <c r="D239" s="35" t="b">
        <v>1</v>
      </c>
      <c r="E239" s="34" t="s">
        <v>510</v>
      </c>
      <c r="F239" s="31" t="s">
        <v>86</v>
      </c>
      <c r="H239" s="40">
        <v>45722</v>
      </c>
      <c r="I239" s="31" t="str">
        <f t="shared" ca="1" si="8"/>
        <v>●</v>
      </c>
      <c r="J239" s="31">
        <f t="shared" si="9"/>
        <v>237</v>
      </c>
    </row>
    <row r="240" spans="2:10" hidden="1">
      <c r="B240" s="35">
        <v>5</v>
      </c>
      <c r="C240" s="31" t="s">
        <v>116</v>
      </c>
      <c r="D240" s="35" t="b">
        <v>1</v>
      </c>
      <c r="E240" s="34" t="s">
        <v>511</v>
      </c>
      <c r="F240" s="31" t="s">
        <v>512</v>
      </c>
      <c r="H240" s="40">
        <v>45722</v>
      </c>
      <c r="I240" s="31" t="str">
        <f t="shared" ca="1" si="8"/>
        <v>●</v>
      </c>
      <c r="J240" s="31">
        <f t="shared" si="9"/>
        <v>238</v>
      </c>
    </row>
    <row r="241" spans="2:10" hidden="1">
      <c r="B241" s="35">
        <v>5</v>
      </c>
      <c r="C241" s="31" t="s">
        <v>116</v>
      </c>
      <c r="D241" s="35" t="b">
        <v>1</v>
      </c>
      <c r="E241" s="34" t="s">
        <v>513</v>
      </c>
      <c r="F241" s="31" t="s">
        <v>514</v>
      </c>
      <c r="H241" s="40">
        <v>45722</v>
      </c>
      <c r="I241" s="31" t="str">
        <f t="shared" ca="1" si="8"/>
        <v>●</v>
      </c>
      <c r="J241" s="31">
        <f t="shared" si="9"/>
        <v>239</v>
      </c>
    </row>
    <row r="242" spans="2:10" hidden="1">
      <c r="B242" s="35">
        <v>5</v>
      </c>
      <c r="C242" s="31" t="s">
        <v>116</v>
      </c>
      <c r="D242" s="35" t="b">
        <v>1</v>
      </c>
      <c r="E242" s="34" t="s">
        <v>145</v>
      </c>
      <c r="F242" s="31" t="s">
        <v>515</v>
      </c>
      <c r="H242" s="40">
        <v>45722</v>
      </c>
      <c r="I242" s="31" t="str">
        <f t="shared" ca="1" si="8"/>
        <v>●</v>
      </c>
      <c r="J242" s="31">
        <f t="shared" si="9"/>
        <v>240</v>
      </c>
    </row>
    <row r="243" spans="2:10" hidden="1">
      <c r="B243" s="35">
        <v>5</v>
      </c>
      <c r="C243" s="31" t="s">
        <v>116</v>
      </c>
      <c r="D243" s="35" t="b">
        <v>1</v>
      </c>
      <c r="E243" s="34" t="s">
        <v>516</v>
      </c>
      <c r="F243" s="31" t="s">
        <v>517</v>
      </c>
      <c r="H243" s="40">
        <v>45722</v>
      </c>
      <c r="I243" s="31" t="str">
        <f t="shared" ca="1" si="8"/>
        <v>●</v>
      </c>
      <c r="J243" s="31">
        <f t="shared" si="9"/>
        <v>241</v>
      </c>
    </row>
    <row r="244" spans="2:10" hidden="1">
      <c r="B244" s="35">
        <v>5</v>
      </c>
      <c r="C244" s="31" t="s">
        <v>116</v>
      </c>
      <c r="D244" s="35" t="b">
        <v>1</v>
      </c>
      <c r="E244" s="34" t="s">
        <v>518</v>
      </c>
      <c r="F244" s="31" t="s">
        <v>519</v>
      </c>
      <c r="H244" s="40">
        <v>45722</v>
      </c>
      <c r="I244" s="31" t="str">
        <f t="shared" ca="1" si="8"/>
        <v>●</v>
      </c>
      <c r="J244" s="31">
        <f t="shared" si="9"/>
        <v>242</v>
      </c>
    </row>
    <row r="245" spans="2:10" hidden="1">
      <c r="B245" s="35">
        <v>5</v>
      </c>
      <c r="C245" s="31" t="s">
        <v>116</v>
      </c>
      <c r="D245" s="35" t="b">
        <v>1</v>
      </c>
      <c r="E245" s="34" t="s">
        <v>520</v>
      </c>
      <c r="F245" s="31" t="s">
        <v>521</v>
      </c>
      <c r="H245" s="40">
        <v>45722</v>
      </c>
      <c r="I245" s="31" t="str">
        <f t="shared" ca="1" si="8"/>
        <v>●</v>
      </c>
      <c r="J245" s="31">
        <f t="shared" si="9"/>
        <v>243</v>
      </c>
    </row>
    <row r="246" spans="2:10" hidden="1">
      <c r="B246" s="35">
        <v>5</v>
      </c>
      <c r="C246" s="31" t="s">
        <v>116</v>
      </c>
      <c r="D246" s="35" t="b">
        <v>1</v>
      </c>
      <c r="E246" s="34" t="s">
        <v>522</v>
      </c>
      <c r="F246" s="31" t="s">
        <v>523</v>
      </c>
      <c r="H246" s="40">
        <v>45722</v>
      </c>
      <c r="I246" s="31" t="str">
        <f t="shared" ca="1" si="8"/>
        <v>●</v>
      </c>
      <c r="J246" s="31">
        <f t="shared" si="9"/>
        <v>244</v>
      </c>
    </row>
    <row r="247" spans="2:10" hidden="1">
      <c r="B247" s="35">
        <v>5</v>
      </c>
      <c r="C247" s="31" t="s">
        <v>116</v>
      </c>
      <c r="D247" s="35" t="b">
        <v>1</v>
      </c>
      <c r="E247" s="34" t="s">
        <v>524</v>
      </c>
      <c r="F247" s="31" t="s">
        <v>525</v>
      </c>
      <c r="H247" s="40">
        <v>45722</v>
      </c>
      <c r="I247" s="31" t="str">
        <f t="shared" ca="1" si="8"/>
        <v>●</v>
      </c>
      <c r="J247" s="31">
        <f t="shared" si="9"/>
        <v>245</v>
      </c>
    </row>
    <row r="248" spans="2:10" hidden="1">
      <c r="B248" s="35">
        <v>5</v>
      </c>
      <c r="C248" s="31" t="s">
        <v>116</v>
      </c>
      <c r="D248" s="35" t="b">
        <v>1</v>
      </c>
      <c r="E248" s="34" t="s">
        <v>526</v>
      </c>
      <c r="F248" s="31" t="s">
        <v>527</v>
      </c>
      <c r="H248" s="40">
        <v>45722</v>
      </c>
      <c r="I248" s="31" t="str">
        <f t="shared" ca="1" si="8"/>
        <v>●</v>
      </c>
      <c r="J248" s="31">
        <f t="shared" si="9"/>
        <v>246</v>
      </c>
    </row>
    <row r="249" spans="2:10" hidden="1">
      <c r="B249" s="35">
        <v>5</v>
      </c>
      <c r="C249" s="31" t="s">
        <v>116</v>
      </c>
      <c r="D249" s="35" t="b">
        <v>1</v>
      </c>
      <c r="E249" s="34" t="s">
        <v>528</v>
      </c>
      <c r="F249" s="31" t="s">
        <v>529</v>
      </c>
      <c r="H249" s="40">
        <v>45722</v>
      </c>
      <c r="I249" s="31" t="str">
        <f t="shared" ca="1" si="8"/>
        <v>●</v>
      </c>
      <c r="J249" s="31">
        <f t="shared" si="9"/>
        <v>247</v>
      </c>
    </row>
    <row r="250" spans="2:10" hidden="1">
      <c r="B250" s="35">
        <v>5</v>
      </c>
      <c r="C250" s="31" t="s">
        <v>116</v>
      </c>
      <c r="D250" s="35" t="b">
        <v>1</v>
      </c>
      <c r="E250" s="34" t="s">
        <v>530</v>
      </c>
      <c r="F250" s="31" t="s">
        <v>531</v>
      </c>
      <c r="H250" s="40">
        <v>45722</v>
      </c>
      <c r="I250" s="31" t="str">
        <f t="shared" ca="1" si="8"/>
        <v>●</v>
      </c>
      <c r="J250" s="31">
        <f t="shared" si="9"/>
        <v>248</v>
      </c>
    </row>
    <row r="251" spans="2:10" hidden="1">
      <c r="B251" s="35">
        <v>5</v>
      </c>
      <c r="C251" s="31" t="s">
        <v>116</v>
      </c>
      <c r="D251" s="35" t="b">
        <v>1</v>
      </c>
      <c r="E251" s="34" t="s">
        <v>532</v>
      </c>
      <c r="F251" s="31" t="s">
        <v>533</v>
      </c>
      <c r="H251" s="40">
        <v>45722</v>
      </c>
      <c r="I251" s="31" t="str">
        <f t="shared" ca="1" si="8"/>
        <v>●</v>
      </c>
      <c r="J251" s="31">
        <f t="shared" si="9"/>
        <v>249</v>
      </c>
    </row>
    <row r="252" spans="2:10" hidden="1">
      <c r="B252" s="35">
        <v>5</v>
      </c>
      <c r="C252" s="31" t="s">
        <v>116</v>
      </c>
      <c r="D252" s="35" t="b">
        <v>1</v>
      </c>
      <c r="E252" s="34" t="s">
        <v>534</v>
      </c>
      <c r="F252" s="31" t="s">
        <v>535</v>
      </c>
      <c r="H252" s="40">
        <v>45722</v>
      </c>
      <c r="I252" s="31" t="str">
        <f t="shared" ca="1" si="8"/>
        <v>●</v>
      </c>
      <c r="J252" s="31">
        <f t="shared" si="9"/>
        <v>250</v>
      </c>
    </row>
    <row r="253" spans="2:10" hidden="1">
      <c r="B253" s="35">
        <v>5</v>
      </c>
      <c r="C253" s="31" t="s">
        <v>116</v>
      </c>
      <c r="D253" s="35" t="b">
        <v>1</v>
      </c>
      <c r="E253" s="34" t="s">
        <v>536</v>
      </c>
      <c r="F253" s="31" t="s">
        <v>537</v>
      </c>
      <c r="H253" s="40">
        <v>45722</v>
      </c>
      <c r="I253" s="31" t="str">
        <f t="shared" ca="1" si="8"/>
        <v>●</v>
      </c>
      <c r="J253" s="31">
        <f t="shared" si="9"/>
        <v>251</v>
      </c>
    </row>
    <row r="254" spans="2:10" hidden="1">
      <c r="B254" s="35">
        <v>5</v>
      </c>
      <c r="C254" s="31" t="s">
        <v>116</v>
      </c>
      <c r="D254" s="35" t="b">
        <v>1</v>
      </c>
      <c r="E254" s="34" t="s">
        <v>163</v>
      </c>
      <c r="F254" s="31" t="s">
        <v>538</v>
      </c>
      <c r="H254" s="40">
        <v>45722</v>
      </c>
      <c r="I254" s="31" t="str">
        <f t="shared" ca="1" si="8"/>
        <v>●</v>
      </c>
      <c r="J254" s="31">
        <f t="shared" si="9"/>
        <v>252</v>
      </c>
    </row>
    <row r="255" spans="2:10" hidden="1">
      <c r="B255" s="35">
        <v>5</v>
      </c>
      <c r="C255" s="31" t="s">
        <v>116</v>
      </c>
      <c r="D255" s="35" t="b">
        <v>1</v>
      </c>
      <c r="E255" s="34" t="s">
        <v>539</v>
      </c>
      <c r="F255" s="31" t="s">
        <v>540</v>
      </c>
      <c r="H255" s="40">
        <v>45722</v>
      </c>
      <c r="I255" s="31" t="str">
        <f t="shared" ca="1" si="8"/>
        <v>●</v>
      </c>
      <c r="J255" s="31">
        <f t="shared" si="9"/>
        <v>253</v>
      </c>
    </row>
    <row r="256" spans="2:10" hidden="1">
      <c r="B256" s="35">
        <v>5</v>
      </c>
      <c r="C256" s="31" t="s">
        <v>116</v>
      </c>
      <c r="D256" s="35" t="b">
        <v>1</v>
      </c>
      <c r="E256" s="34" t="s">
        <v>541</v>
      </c>
      <c r="F256" s="31" t="s">
        <v>542</v>
      </c>
      <c r="H256" s="40">
        <v>45722</v>
      </c>
      <c r="I256" s="31" t="str">
        <f t="shared" ca="1" si="8"/>
        <v>●</v>
      </c>
      <c r="J256" s="31">
        <f t="shared" si="9"/>
        <v>254</v>
      </c>
    </row>
    <row r="257" spans="2:10" hidden="1">
      <c r="B257" s="35">
        <v>5</v>
      </c>
      <c r="C257" s="31" t="s">
        <v>116</v>
      </c>
      <c r="D257" s="35" t="b">
        <v>1</v>
      </c>
      <c r="E257" s="34" t="s">
        <v>543</v>
      </c>
      <c r="F257" s="31" t="s">
        <v>544</v>
      </c>
      <c r="H257" s="40">
        <v>45722</v>
      </c>
      <c r="I257" s="31" t="str">
        <f t="shared" ca="1" si="8"/>
        <v>●</v>
      </c>
      <c r="J257" s="31">
        <f t="shared" si="9"/>
        <v>255</v>
      </c>
    </row>
    <row r="258" spans="2:10" hidden="1">
      <c r="B258" s="35">
        <v>5</v>
      </c>
      <c r="C258" s="31" t="s">
        <v>116</v>
      </c>
      <c r="D258" s="35" t="b">
        <v>1</v>
      </c>
      <c r="E258" s="34" t="s">
        <v>545</v>
      </c>
      <c r="F258" s="31" t="s">
        <v>546</v>
      </c>
      <c r="H258" s="40">
        <v>45722</v>
      </c>
      <c r="I258" s="31" t="str">
        <f t="shared" ca="1" si="8"/>
        <v>●</v>
      </c>
      <c r="J258" s="31">
        <f t="shared" si="9"/>
        <v>256</v>
      </c>
    </row>
    <row r="259" spans="2:10" hidden="1">
      <c r="B259" s="35">
        <v>5</v>
      </c>
      <c r="C259" s="31" t="s">
        <v>116</v>
      </c>
      <c r="D259" s="35" t="b">
        <v>1</v>
      </c>
      <c r="E259" s="34" t="s">
        <v>547</v>
      </c>
      <c r="F259" s="31" t="s">
        <v>548</v>
      </c>
      <c r="H259" s="40">
        <v>45722</v>
      </c>
      <c r="I259" s="31" t="str">
        <f t="shared" ca="1" si="8"/>
        <v>●</v>
      </c>
      <c r="J259" s="31">
        <f t="shared" si="9"/>
        <v>257</v>
      </c>
    </row>
    <row r="260" spans="2:10" hidden="1">
      <c r="B260" s="35">
        <v>5</v>
      </c>
      <c r="C260" s="31" t="s">
        <v>116</v>
      </c>
      <c r="D260" s="35" t="b">
        <v>1</v>
      </c>
      <c r="E260" s="34" t="s">
        <v>549</v>
      </c>
      <c r="F260" s="31" t="s">
        <v>550</v>
      </c>
      <c r="H260" s="40">
        <v>45722</v>
      </c>
      <c r="I260" s="31" t="str">
        <f t="shared" ca="1" si="8"/>
        <v>●</v>
      </c>
      <c r="J260" s="31">
        <f t="shared" si="9"/>
        <v>258</v>
      </c>
    </row>
    <row r="261" spans="2:10" hidden="1">
      <c r="B261" s="35">
        <v>5</v>
      </c>
      <c r="C261" s="31" t="s">
        <v>116</v>
      </c>
      <c r="D261" s="35" t="b">
        <v>1</v>
      </c>
      <c r="E261" s="34" t="s">
        <v>551</v>
      </c>
      <c r="F261" s="31" t="s">
        <v>552</v>
      </c>
      <c r="H261" s="40">
        <v>45722</v>
      </c>
      <c r="I261" s="31" t="str">
        <f t="shared" ca="1" si="8"/>
        <v>●</v>
      </c>
      <c r="J261" s="31">
        <f t="shared" si="9"/>
        <v>259</v>
      </c>
    </row>
    <row r="262" spans="2:10" hidden="1">
      <c r="B262" s="35">
        <v>5</v>
      </c>
      <c r="C262" s="31" t="s">
        <v>116</v>
      </c>
      <c r="D262" s="35" t="b">
        <v>1</v>
      </c>
      <c r="E262" s="34" t="s">
        <v>553</v>
      </c>
      <c r="F262" s="31" t="s">
        <v>554</v>
      </c>
      <c r="H262" s="40">
        <v>45722</v>
      </c>
      <c r="I262" s="31" t="str">
        <f t="shared" ca="1" si="8"/>
        <v>●</v>
      </c>
      <c r="J262" s="31">
        <f t="shared" si="9"/>
        <v>260</v>
      </c>
    </row>
    <row r="263" spans="2:10" hidden="1">
      <c r="B263" s="35">
        <v>5</v>
      </c>
      <c r="C263" s="31" t="s">
        <v>116</v>
      </c>
      <c r="D263" s="35" t="b">
        <v>1</v>
      </c>
      <c r="E263" s="34" t="s">
        <v>555</v>
      </c>
      <c r="F263" s="31" t="s">
        <v>556</v>
      </c>
      <c r="H263" s="40">
        <v>45722</v>
      </c>
      <c r="I263" s="31" t="str">
        <f t="shared" ca="1" si="8"/>
        <v>●</v>
      </c>
      <c r="J263" s="31">
        <f t="shared" si="9"/>
        <v>261</v>
      </c>
    </row>
    <row r="264" spans="2:10" hidden="1">
      <c r="B264" s="35">
        <v>5</v>
      </c>
      <c r="C264" s="31" t="s">
        <v>116</v>
      </c>
      <c r="D264" s="35" t="b">
        <v>1</v>
      </c>
      <c r="E264" s="34" t="s">
        <v>557</v>
      </c>
      <c r="F264" s="31" t="s">
        <v>558</v>
      </c>
      <c r="H264" s="40">
        <v>45722</v>
      </c>
      <c r="I264" s="31" t="str">
        <f t="shared" ca="1" si="8"/>
        <v>●</v>
      </c>
      <c r="J264" s="31">
        <f t="shared" si="9"/>
        <v>262</v>
      </c>
    </row>
    <row r="265" spans="2:10" hidden="1">
      <c r="B265" s="35">
        <v>5</v>
      </c>
      <c r="C265" s="31" t="s">
        <v>116</v>
      </c>
      <c r="D265" s="35" t="b">
        <v>1</v>
      </c>
      <c r="E265" s="34" t="s">
        <v>559</v>
      </c>
      <c r="F265" s="31" t="s">
        <v>560</v>
      </c>
      <c r="H265" s="40">
        <v>45722</v>
      </c>
      <c r="I265" s="31" t="str">
        <f t="shared" ca="1" si="8"/>
        <v>●</v>
      </c>
      <c r="J265" s="31">
        <f t="shared" si="9"/>
        <v>263</v>
      </c>
    </row>
    <row r="266" spans="2:10" hidden="1">
      <c r="B266" s="35">
        <v>5</v>
      </c>
      <c r="C266" s="31" t="s">
        <v>116</v>
      </c>
      <c r="D266" s="35" t="b">
        <v>1</v>
      </c>
      <c r="E266" s="34" t="s">
        <v>561</v>
      </c>
      <c r="F266" s="31" t="s">
        <v>562</v>
      </c>
      <c r="H266" s="40">
        <v>45722</v>
      </c>
      <c r="I266" s="31" t="str">
        <f t="shared" ca="1" si="8"/>
        <v>●</v>
      </c>
      <c r="J266" s="31">
        <f t="shared" si="9"/>
        <v>264</v>
      </c>
    </row>
    <row r="267" spans="2:10" hidden="1">
      <c r="B267" s="35">
        <v>5</v>
      </c>
      <c r="C267" s="31" t="s">
        <v>116</v>
      </c>
      <c r="D267" s="35" t="b">
        <v>1</v>
      </c>
      <c r="E267" s="34" t="s">
        <v>563</v>
      </c>
      <c r="F267" s="31" t="s">
        <v>564</v>
      </c>
      <c r="H267" s="40">
        <v>45722</v>
      </c>
      <c r="I267" s="31" t="str">
        <f t="shared" ca="1" si="8"/>
        <v>●</v>
      </c>
      <c r="J267" s="31">
        <f t="shared" si="9"/>
        <v>265</v>
      </c>
    </row>
    <row r="268" spans="2:10" hidden="1">
      <c r="B268" s="35">
        <v>5</v>
      </c>
      <c r="C268" s="31" t="s">
        <v>116</v>
      </c>
      <c r="D268" s="35" t="b">
        <v>0</v>
      </c>
      <c r="E268" s="34" t="s">
        <v>141</v>
      </c>
      <c r="F268" s="31" t="s">
        <v>565</v>
      </c>
      <c r="H268" s="40">
        <v>45722</v>
      </c>
      <c r="I268" s="31" t="str">
        <f t="shared" ca="1" si="8"/>
        <v>●</v>
      </c>
      <c r="J268" s="31">
        <f t="shared" si="9"/>
        <v>266</v>
      </c>
    </row>
    <row r="269" spans="2:10" hidden="1">
      <c r="B269" s="35">
        <v>5</v>
      </c>
      <c r="C269" s="31" t="s">
        <v>116</v>
      </c>
      <c r="D269" s="35" t="b">
        <v>1</v>
      </c>
      <c r="E269" s="34" t="s">
        <v>566</v>
      </c>
      <c r="F269" s="31" t="s">
        <v>567</v>
      </c>
      <c r="H269" s="40">
        <v>45722</v>
      </c>
      <c r="I269" s="31" t="str">
        <f t="shared" ca="1" si="8"/>
        <v>●</v>
      </c>
      <c r="J269" s="31">
        <f t="shared" si="9"/>
        <v>267</v>
      </c>
    </row>
    <row r="270" spans="2:10" hidden="1">
      <c r="B270" s="35">
        <v>5</v>
      </c>
      <c r="C270" s="31" t="s">
        <v>116</v>
      </c>
      <c r="D270" s="35" t="b">
        <v>1</v>
      </c>
      <c r="E270" s="34" t="s">
        <v>568</v>
      </c>
      <c r="F270" s="31" t="s">
        <v>569</v>
      </c>
      <c r="H270" s="40">
        <v>45722</v>
      </c>
      <c r="I270" s="31" t="str">
        <f t="shared" ca="1" si="8"/>
        <v>●</v>
      </c>
      <c r="J270" s="31">
        <f t="shared" si="9"/>
        <v>268</v>
      </c>
    </row>
    <row r="271" spans="2:10" hidden="1">
      <c r="B271" s="35">
        <v>5</v>
      </c>
      <c r="C271" s="31" t="s">
        <v>116</v>
      </c>
      <c r="D271" s="35" t="b">
        <v>1</v>
      </c>
      <c r="E271" s="34" t="s">
        <v>570</v>
      </c>
      <c r="F271" s="31" t="s">
        <v>571</v>
      </c>
      <c r="H271" s="40">
        <v>45722</v>
      </c>
      <c r="I271" s="31" t="str">
        <f t="shared" ca="1" si="8"/>
        <v>●</v>
      </c>
      <c r="J271" s="31">
        <f t="shared" si="9"/>
        <v>269</v>
      </c>
    </row>
    <row r="272" spans="2:10" hidden="1">
      <c r="B272" s="35">
        <v>5</v>
      </c>
      <c r="C272" s="31" t="s">
        <v>116</v>
      </c>
      <c r="D272" s="35" t="b">
        <v>1</v>
      </c>
      <c r="E272" s="34" t="s">
        <v>572</v>
      </c>
      <c r="F272" s="31" t="s">
        <v>573</v>
      </c>
      <c r="H272" s="40">
        <v>45722</v>
      </c>
      <c r="I272" s="31" t="str">
        <f t="shared" ca="1" si="8"/>
        <v>●</v>
      </c>
      <c r="J272" s="31">
        <f t="shared" si="9"/>
        <v>270</v>
      </c>
    </row>
    <row r="273" spans="2:10" hidden="1">
      <c r="B273" s="35">
        <v>5</v>
      </c>
      <c r="C273" s="31" t="s">
        <v>116</v>
      </c>
      <c r="D273" s="35" t="b">
        <v>1</v>
      </c>
      <c r="E273" s="34" t="s">
        <v>574</v>
      </c>
      <c r="F273" s="31" t="s">
        <v>575</v>
      </c>
      <c r="H273" s="40">
        <v>45722</v>
      </c>
      <c r="I273" s="31" t="str">
        <f t="shared" ca="1" si="8"/>
        <v>●</v>
      </c>
      <c r="J273" s="31">
        <f t="shared" si="9"/>
        <v>271</v>
      </c>
    </row>
    <row r="274" spans="2:10" hidden="1">
      <c r="B274" s="31">
        <v>5</v>
      </c>
      <c r="C274" s="31" t="s">
        <v>116</v>
      </c>
      <c r="D274" s="35" t="b">
        <v>1</v>
      </c>
      <c r="E274" s="34" t="s">
        <v>576</v>
      </c>
      <c r="F274" s="31" t="s">
        <v>577</v>
      </c>
      <c r="H274" s="40">
        <v>45722</v>
      </c>
      <c r="I274" s="31" t="str">
        <f t="shared" ref="I274:I337" ca="1" si="10">IF(H274-$G$1&lt;=0,"●","")</f>
        <v>●</v>
      </c>
      <c r="J274" s="31">
        <f t="shared" ref="J274:J337" si="11">ROW()-2</f>
        <v>272</v>
      </c>
    </row>
    <row r="275" spans="2:10" hidden="1">
      <c r="B275" s="31">
        <v>5</v>
      </c>
      <c r="C275" s="31" t="s">
        <v>116</v>
      </c>
      <c r="D275" s="35" t="b">
        <v>1</v>
      </c>
      <c r="E275" s="34" t="s">
        <v>578</v>
      </c>
      <c r="F275" s="31" t="s">
        <v>579</v>
      </c>
      <c r="H275" s="40">
        <v>45722</v>
      </c>
      <c r="I275" s="31" t="str">
        <f t="shared" ca="1" si="10"/>
        <v>●</v>
      </c>
      <c r="J275" s="31">
        <f t="shared" si="11"/>
        <v>273</v>
      </c>
    </row>
    <row r="276" spans="2:10" hidden="1">
      <c r="B276" s="31">
        <v>5</v>
      </c>
      <c r="C276" s="31" t="s">
        <v>116</v>
      </c>
      <c r="D276" s="35" t="b">
        <v>1</v>
      </c>
      <c r="E276" s="34" t="s">
        <v>580</v>
      </c>
      <c r="F276" s="31" t="s">
        <v>581</v>
      </c>
      <c r="H276" s="40">
        <v>45722</v>
      </c>
      <c r="I276" s="31" t="str">
        <f t="shared" ca="1" si="10"/>
        <v>●</v>
      </c>
      <c r="J276" s="31">
        <f t="shared" si="11"/>
        <v>274</v>
      </c>
    </row>
    <row r="277" spans="2:10" hidden="1">
      <c r="B277" s="31">
        <v>5</v>
      </c>
      <c r="C277" s="31" t="s">
        <v>116</v>
      </c>
      <c r="D277" s="35" t="b">
        <v>1</v>
      </c>
      <c r="E277" s="34" t="s">
        <v>582</v>
      </c>
      <c r="F277" s="31" t="s">
        <v>583</v>
      </c>
      <c r="H277" s="40">
        <v>45722</v>
      </c>
      <c r="I277" s="31" t="str">
        <f t="shared" ca="1" si="10"/>
        <v>●</v>
      </c>
      <c r="J277" s="31">
        <f t="shared" si="11"/>
        <v>275</v>
      </c>
    </row>
    <row r="278" spans="2:10" hidden="1">
      <c r="B278" s="31">
        <v>5</v>
      </c>
      <c r="C278" s="31" t="s">
        <v>116</v>
      </c>
      <c r="D278" s="35" t="b">
        <v>1</v>
      </c>
      <c r="E278" s="34" t="s">
        <v>584</v>
      </c>
      <c r="F278" s="31" t="s">
        <v>585</v>
      </c>
      <c r="H278" s="40">
        <v>45722</v>
      </c>
      <c r="I278" s="31" t="str">
        <f t="shared" ca="1" si="10"/>
        <v>●</v>
      </c>
      <c r="J278" s="31">
        <f t="shared" si="11"/>
        <v>276</v>
      </c>
    </row>
    <row r="279" spans="2:10" hidden="1">
      <c r="B279" s="31">
        <v>5</v>
      </c>
      <c r="C279" s="31" t="s">
        <v>116</v>
      </c>
      <c r="D279" s="35" t="b">
        <v>1</v>
      </c>
      <c r="E279" s="34" t="s">
        <v>586</v>
      </c>
      <c r="F279" s="31" t="s">
        <v>587</v>
      </c>
      <c r="H279" s="40">
        <v>45722</v>
      </c>
      <c r="I279" s="31" t="str">
        <f t="shared" ca="1" si="10"/>
        <v>●</v>
      </c>
      <c r="J279" s="31">
        <f t="shared" si="11"/>
        <v>277</v>
      </c>
    </row>
    <row r="280" spans="2:10" hidden="1">
      <c r="B280" s="31">
        <v>5</v>
      </c>
      <c r="C280" s="31" t="s">
        <v>116</v>
      </c>
      <c r="D280" s="35" t="b">
        <v>1</v>
      </c>
      <c r="E280" s="34" t="s">
        <v>588</v>
      </c>
      <c r="F280" s="31" t="s">
        <v>589</v>
      </c>
      <c r="H280" s="40">
        <v>45722</v>
      </c>
      <c r="I280" s="31" t="str">
        <f t="shared" ca="1" si="10"/>
        <v>●</v>
      </c>
      <c r="J280" s="31">
        <f t="shared" si="11"/>
        <v>278</v>
      </c>
    </row>
    <row r="281" spans="2:10" hidden="1">
      <c r="B281" s="31">
        <v>5</v>
      </c>
      <c r="C281" s="31" t="s">
        <v>116</v>
      </c>
      <c r="D281" s="35" t="b">
        <v>1</v>
      </c>
      <c r="E281" s="34" t="s">
        <v>590</v>
      </c>
      <c r="F281" s="31" t="s">
        <v>591</v>
      </c>
      <c r="H281" s="40">
        <v>45722</v>
      </c>
      <c r="I281" s="31" t="str">
        <f t="shared" ca="1" si="10"/>
        <v>●</v>
      </c>
      <c r="J281" s="31">
        <f t="shared" si="11"/>
        <v>279</v>
      </c>
    </row>
    <row r="282" spans="2:10" hidden="1">
      <c r="B282" s="31">
        <v>5</v>
      </c>
      <c r="C282" s="31" t="s">
        <v>116</v>
      </c>
      <c r="D282" s="35" t="b">
        <v>1</v>
      </c>
      <c r="E282" s="34" t="s">
        <v>449</v>
      </c>
      <c r="F282" s="31" t="s">
        <v>592</v>
      </c>
      <c r="H282" s="40">
        <v>45722</v>
      </c>
      <c r="I282" s="31" t="str">
        <f t="shared" ca="1" si="10"/>
        <v>●</v>
      </c>
      <c r="J282" s="31">
        <f t="shared" si="11"/>
        <v>280</v>
      </c>
    </row>
    <row r="283" spans="2:10" hidden="1">
      <c r="B283" s="31">
        <v>5</v>
      </c>
      <c r="C283" s="31" t="s">
        <v>116</v>
      </c>
      <c r="D283" s="35" t="b">
        <v>1</v>
      </c>
      <c r="E283" s="34" t="s">
        <v>593</v>
      </c>
      <c r="F283" s="31" t="s">
        <v>594</v>
      </c>
      <c r="H283" s="40">
        <v>45722</v>
      </c>
      <c r="I283" s="31" t="str">
        <f t="shared" ca="1" si="10"/>
        <v>●</v>
      </c>
      <c r="J283" s="31">
        <f t="shared" si="11"/>
        <v>281</v>
      </c>
    </row>
    <row r="284" spans="2:10" hidden="1">
      <c r="B284" s="31">
        <v>5</v>
      </c>
      <c r="C284" s="31" t="s">
        <v>116</v>
      </c>
      <c r="D284" s="35" t="b">
        <v>1</v>
      </c>
      <c r="E284" s="34" t="s">
        <v>595</v>
      </c>
      <c r="F284" s="31" t="s">
        <v>596</v>
      </c>
      <c r="H284" s="40">
        <v>45722</v>
      </c>
      <c r="I284" s="31" t="str">
        <f t="shared" ca="1" si="10"/>
        <v>●</v>
      </c>
      <c r="J284" s="31">
        <f t="shared" si="11"/>
        <v>282</v>
      </c>
    </row>
    <row r="285" spans="2:10" hidden="1">
      <c r="B285" s="31">
        <v>5</v>
      </c>
      <c r="C285" s="31" t="s">
        <v>116</v>
      </c>
      <c r="D285" s="35" t="b">
        <v>1</v>
      </c>
      <c r="E285" s="34" t="s">
        <v>597</v>
      </c>
      <c r="F285" s="31" t="s">
        <v>598</v>
      </c>
      <c r="H285" s="40">
        <v>45722</v>
      </c>
      <c r="I285" s="31" t="str">
        <f t="shared" ca="1" si="10"/>
        <v>●</v>
      </c>
      <c r="J285" s="31">
        <f t="shared" si="11"/>
        <v>283</v>
      </c>
    </row>
    <row r="286" spans="2:10" hidden="1">
      <c r="B286" s="31">
        <v>5</v>
      </c>
      <c r="C286" s="31" t="s">
        <v>116</v>
      </c>
      <c r="D286" s="35" t="b">
        <v>1</v>
      </c>
      <c r="E286" s="34" t="s">
        <v>599</v>
      </c>
      <c r="F286" s="31" t="s">
        <v>600</v>
      </c>
      <c r="H286" s="40">
        <v>45722</v>
      </c>
      <c r="I286" s="31" t="str">
        <f t="shared" ca="1" si="10"/>
        <v>●</v>
      </c>
      <c r="J286" s="31">
        <f t="shared" si="11"/>
        <v>284</v>
      </c>
    </row>
    <row r="287" spans="2:10" hidden="1">
      <c r="B287" s="31">
        <v>5</v>
      </c>
      <c r="C287" s="31" t="s">
        <v>116</v>
      </c>
      <c r="D287" s="35" t="b">
        <v>1</v>
      </c>
      <c r="E287" s="34" t="s">
        <v>601</v>
      </c>
      <c r="F287" s="31" t="s">
        <v>602</v>
      </c>
      <c r="H287" s="40">
        <v>45722</v>
      </c>
      <c r="I287" s="31" t="str">
        <f t="shared" ca="1" si="10"/>
        <v>●</v>
      </c>
      <c r="J287" s="31">
        <f t="shared" si="11"/>
        <v>285</v>
      </c>
    </row>
    <row r="288" spans="2:10" hidden="1">
      <c r="B288" s="31">
        <v>5</v>
      </c>
      <c r="C288" s="31" t="s">
        <v>116</v>
      </c>
      <c r="D288" s="35" t="b">
        <v>1</v>
      </c>
      <c r="E288" s="34" t="s">
        <v>603</v>
      </c>
      <c r="F288" s="31" t="s">
        <v>604</v>
      </c>
      <c r="H288" s="40">
        <v>45722</v>
      </c>
      <c r="I288" s="31" t="str">
        <f t="shared" ca="1" si="10"/>
        <v>●</v>
      </c>
      <c r="J288" s="31">
        <f t="shared" si="11"/>
        <v>286</v>
      </c>
    </row>
    <row r="289" spans="2:10" hidden="1">
      <c r="B289" s="31">
        <v>5</v>
      </c>
      <c r="C289" s="31" t="s">
        <v>116</v>
      </c>
      <c r="D289" s="35" t="b">
        <v>1</v>
      </c>
      <c r="E289" s="34" t="s">
        <v>605</v>
      </c>
      <c r="F289" s="31" t="s">
        <v>606</v>
      </c>
      <c r="H289" s="40">
        <v>45722</v>
      </c>
      <c r="I289" s="31" t="str">
        <f t="shared" ca="1" si="10"/>
        <v>●</v>
      </c>
      <c r="J289" s="31">
        <f t="shared" si="11"/>
        <v>287</v>
      </c>
    </row>
    <row r="290" spans="2:10" hidden="1">
      <c r="B290" s="31">
        <v>5</v>
      </c>
      <c r="C290" s="31" t="s">
        <v>116</v>
      </c>
      <c r="D290" s="35" t="b">
        <v>0</v>
      </c>
      <c r="E290" s="34" t="s">
        <v>607</v>
      </c>
      <c r="F290" s="31" t="s">
        <v>608</v>
      </c>
      <c r="H290" s="40">
        <v>45722</v>
      </c>
      <c r="I290" s="31" t="str">
        <f t="shared" ca="1" si="10"/>
        <v>●</v>
      </c>
      <c r="J290" s="31">
        <f t="shared" si="11"/>
        <v>288</v>
      </c>
    </row>
    <row r="291" spans="2:10" hidden="1">
      <c r="B291" s="35">
        <v>5</v>
      </c>
      <c r="C291" s="31" t="s">
        <v>116</v>
      </c>
      <c r="D291" s="35" t="b">
        <v>1</v>
      </c>
      <c r="E291" s="34" t="s">
        <v>609</v>
      </c>
      <c r="F291" s="31" t="s">
        <v>610</v>
      </c>
      <c r="H291" s="40">
        <v>45722</v>
      </c>
      <c r="I291" s="31" t="str">
        <f t="shared" ca="1" si="10"/>
        <v>●</v>
      </c>
      <c r="J291" s="31">
        <f t="shared" si="11"/>
        <v>289</v>
      </c>
    </row>
    <row r="292" spans="2:10" hidden="1">
      <c r="B292" s="35">
        <v>5</v>
      </c>
      <c r="C292" s="31" t="s">
        <v>116</v>
      </c>
      <c r="D292" s="35" t="b">
        <v>1</v>
      </c>
      <c r="E292" s="34" t="s">
        <v>611</v>
      </c>
      <c r="F292" s="31" t="s">
        <v>612</v>
      </c>
      <c r="H292" s="40">
        <v>45722</v>
      </c>
      <c r="I292" s="31" t="str">
        <f t="shared" ca="1" si="10"/>
        <v>●</v>
      </c>
      <c r="J292" s="31">
        <f t="shared" si="11"/>
        <v>290</v>
      </c>
    </row>
    <row r="293" spans="2:10" hidden="1">
      <c r="B293" s="35">
        <v>5</v>
      </c>
      <c r="C293" s="31" t="s">
        <v>116</v>
      </c>
      <c r="D293" s="35" t="b">
        <v>1</v>
      </c>
      <c r="E293" s="34" t="s">
        <v>534</v>
      </c>
      <c r="F293" s="31" t="s">
        <v>613</v>
      </c>
      <c r="H293" s="40">
        <v>45722</v>
      </c>
      <c r="I293" s="31" t="str">
        <f t="shared" ca="1" si="10"/>
        <v>●</v>
      </c>
      <c r="J293" s="31">
        <f t="shared" si="11"/>
        <v>291</v>
      </c>
    </row>
    <row r="294" spans="2:10" hidden="1">
      <c r="B294" s="35">
        <v>5</v>
      </c>
      <c r="C294" s="31" t="s">
        <v>116</v>
      </c>
      <c r="D294" s="35" t="b">
        <v>1</v>
      </c>
      <c r="E294" s="34" t="s">
        <v>614</v>
      </c>
      <c r="F294" s="31" t="s">
        <v>615</v>
      </c>
      <c r="H294" s="40">
        <v>45722</v>
      </c>
      <c r="I294" s="31" t="str">
        <f t="shared" ca="1" si="10"/>
        <v>●</v>
      </c>
      <c r="J294" s="31">
        <f t="shared" si="11"/>
        <v>292</v>
      </c>
    </row>
    <row r="295" spans="2:10" hidden="1">
      <c r="B295" s="35">
        <v>5</v>
      </c>
      <c r="C295" s="31" t="s">
        <v>116</v>
      </c>
      <c r="D295" s="35" t="b">
        <v>1</v>
      </c>
      <c r="E295" s="34" t="s">
        <v>616</v>
      </c>
      <c r="F295" s="31" t="s">
        <v>617</v>
      </c>
      <c r="H295" s="40">
        <v>45722</v>
      </c>
      <c r="I295" s="31" t="str">
        <f t="shared" ca="1" si="10"/>
        <v>●</v>
      </c>
      <c r="J295" s="31">
        <f t="shared" si="11"/>
        <v>293</v>
      </c>
    </row>
    <row r="296" spans="2:10" hidden="1">
      <c r="B296" s="35">
        <v>5</v>
      </c>
      <c r="C296" s="31" t="s">
        <v>116</v>
      </c>
      <c r="D296" s="35" t="b">
        <v>1</v>
      </c>
      <c r="E296" s="34" t="s">
        <v>618</v>
      </c>
      <c r="F296" s="31" t="s">
        <v>619</v>
      </c>
      <c r="H296" s="40">
        <v>45722</v>
      </c>
      <c r="I296" s="31" t="str">
        <f t="shared" ca="1" si="10"/>
        <v>●</v>
      </c>
      <c r="J296" s="31">
        <f t="shared" si="11"/>
        <v>294</v>
      </c>
    </row>
    <row r="297" spans="2:10" hidden="1">
      <c r="B297" s="35">
        <v>5</v>
      </c>
      <c r="C297" s="31" t="s">
        <v>116</v>
      </c>
      <c r="D297" s="35" t="b">
        <v>1</v>
      </c>
      <c r="E297" s="34" t="s">
        <v>620</v>
      </c>
      <c r="F297" s="31" t="s">
        <v>621</v>
      </c>
      <c r="H297" s="40">
        <v>45722</v>
      </c>
      <c r="I297" s="31" t="str">
        <f t="shared" ca="1" si="10"/>
        <v>●</v>
      </c>
      <c r="J297" s="31">
        <f t="shared" si="11"/>
        <v>295</v>
      </c>
    </row>
    <row r="298" spans="2:10" hidden="1">
      <c r="B298" s="35">
        <v>5</v>
      </c>
      <c r="C298" s="31" t="s">
        <v>116</v>
      </c>
      <c r="D298" s="35" t="b">
        <v>1</v>
      </c>
      <c r="E298" s="34" t="s">
        <v>622</v>
      </c>
      <c r="F298" s="31" t="s">
        <v>623</v>
      </c>
      <c r="H298" s="40">
        <v>45722</v>
      </c>
      <c r="I298" s="31" t="str">
        <f t="shared" ca="1" si="10"/>
        <v>●</v>
      </c>
      <c r="J298" s="31">
        <f t="shared" si="11"/>
        <v>296</v>
      </c>
    </row>
    <row r="299" spans="2:10" hidden="1">
      <c r="B299" s="35">
        <v>5</v>
      </c>
      <c r="C299" s="31" t="s">
        <v>116</v>
      </c>
      <c r="D299" s="35" t="b">
        <v>1</v>
      </c>
      <c r="E299" s="34" t="s">
        <v>624</v>
      </c>
      <c r="F299" s="31" t="s">
        <v>625</v>
      </c>
      <c r="H299" s="40">
        <v>45722</v>
      </c>
      <c r="I299" s="31" t="str">
        <f t="shared" ca="1" si="10"/>
        <v>●</v>
      </c>
      <c r="J299" s="31">
        <f t="shared" si="11"/>
        <v>297</v>
      </c>
    </row>
    <row r="300" spans="2:10" hidden="1">
      <c r="B300" s="35">
        <v>5</v>
      </c>
      <c r="C300" s="31" t="s">
        <v>116</v>
      </c>
      <c r="D300" s="35" t="b">
        <v>1</v>
      </c>
      <c r="E300" s="34" t="s">
        <v>626</v>
      </c>
      <c r="F300" s="31" t="s">
        <v>627</v>
      </c>
      <c r="H300" s="40">
        <v>45722</v>
      </c>
      <c r="I300" s="31" t="str">
        <f t="shared" ca="1" si="10"/>
        <v>●</v>
      </c>
      <c r="J300" s="31">
        <f t="shared" si="11"/>
        <v>298</v>
      </c>
    </row>
    <row r="301" spans="2:10" hidden="1">
      <c r="B301" s="35">
        <v>5</v>
      </c>
      <c r="C301" s="31" t="s">
        <v>116</v>
      </c>
      <c r="D301" s="35" t="b">
        <v>1</v>
      </c>
      <c r="E301" s="34" t="s">
        <v>628</v>
      </c>
      <c r="F301" s="31" t="s">
        <v>629</v>
      </c>
      <c r="H301" s="40">
        <v>45722</v>
      </c>
      <c r="I301" s="31" t="str">
        <f t="shared" ca="1" si="10"/>
        <v>●</v>
      </c>
      <c r="J301" s="31">
        <f t="shared" si="11"/>
        <v>299</v>
      </c>
    </row>
    <row r="302" spans="2:10" hidden="1">
      <c r="B302" s="35">
        <v>5</v>
      </c>
      <c r="C302" s="31" t="s">
        <v>116</v>
      </c>
      <c r="D302" s="35" t="b">
        <v>1</v>
      </c>
      <c r="E302" s="34" t="s">
        <v>630</v>
      </c>
      <c r="F302" s="31" t="s">
        <v>631</v>
      </c>
      <c r="H302" s="40">
        <v>45722</v>
      </c>
      <c r="I302" s="31" t="str">
        <f t="shared" ca="1" si="10"/>
        <v>●</v>
      </c>
      <c r="J302" s="31">
        <f t="shared" si="11"/>
        <v>300</v>
      </c>
    </row>
    <row r="303" spans="2:10" hidden="1">
      <c r="B303" s="35">
        <v>5</v>
      </c>
      <c r="C303" s="31" t="s">
        <v>116</v>
      </c>
      <c r="D303" s="35" t="b">
        <v>1</v>
      </c>
      <c r="E303" s="34" t="s">
        <v>632</v>
      </c>
      <c r="F303" s="31" t="s">
        <v>633</v>
      </c>
      <c r="H303" s="40">
        <v>45722</v>
      </c>
      <c r="I303" s="31" t="str">
        <f t="shared" ca="1" si="10"/>
        <v>●</v>
      </c>
      <c r="J303" s="31">
        <f t="shared" si="11"/>
        <v>301</v>
      </c>
    </row>
    <row r="304" spans="2:10" hidden="1">
      <c r="B304" s="35">
        <v>5</v>
      </c>
      <c r="C304" s="31" t="s">
        <v>116</v>
      </c>
      <c r="D304" s="35" t="b">
        <v>1</v>
      </c>
      <c r="E304" s="34" t="s">
        <v>634</v>
      </c>
      <c r="F304" s="31" t="s">
        <v>635</v>
      </c>
      <c r="H304" s="40">
        <v>45722</v>
      </c>
      <c r="I304" s="31" t="str">
        <f t="shared" ca="1" si="10"/>
        <v>●</v>
      </c>
      <c r="J304" s="31">
        <f t="shared" si="11"/>
        <v>302</v>
      </c>
    </row>
    <row r="305" spans="2:10" hidden="1">
      <c r="B305" s="35">
        <v>5</v>
      </c>
      <c r="C305" s="31" t="s">
        <v>116</v>
      </c>
      <c r="D305" s="35" t="b">
        <v>1</v>
      </c>
      <c r="E305" s="34" t="s">
        <v>636</v>
      </c>
      <c r="F305" s="31" t="s">
        <v>637</v>
      </c>
      <c r="H305" s="40">
        <v>45722</v>
      </c>
      <c r="I305" s="31" t="str">
        <f t="shared" ca="1" si="10"/>
        <v>●</v>
      </c>
      <c r="J305" s="31">
        <f t="shared" si="11"/>
        <v>303</v>
      </c>
    </row>
    <row r="306" spans="2:10" hidden="1">
      <c r="B306" s="35">
        <v>5</v>
      </c>
      <c r="C306" s="31" t="s">
        <v>116</v>
      </c>
      <c r="D306" s="35" t="b">
        <v>1</v>
      </c>
      <c r="E306" s="34" t="s">
        <v>638</v>
      </c>
      <c r="F306" s="31" t="s">
        <v>639</v>
      </c>
      <c r="H306" s="40">
        <v>45722</v>
      </c>
      <c r="I306" s="31" t="str">
        <f t="shared" ca="1" si="10"/>
        <v>●</v>
      </c>
      <c r="J306" s="31">
        <f t="shared" si="11"/>
        <v>304</v>
      </c>
    </row>
    <row r="307" spans="2:10" hidden="1">
      <c r="B307" s="35">
        <v>5</v>
      </c>
      <c r="C307" s="31" t="s">
        <v>116</v>
      </c>
      <c r="D307" s="35" t="b">
        <v>1</v>
      </c>
      <c r="E307" s="34" t="s">
        <v>640</v>
      </c>
      <c r="F307" s="31" t="s">
        <v>641</v>
      </c>
      <c r="H307" s="40">
        <v>45722</v>
      </c>
      <c r="I307" s="31" t="str">
        <f t="shared" ca="1" si="10"/>
        <v>●</v>
      </c>
      <c r="J307" s="31">
        <f t="shared" si="11"/>
        <v>305</v>
      </c>
    </row>
    <row r="308" spans="2:10" hidden="1">
      <c r="B308" s="35">
        <v>5</v>
      </c>
      <c r="C308" s="31" t="s">
        <v>116</v>
      </c>
      <c r="D308" s="35" t="b">
        <v>0</v>
      </c>
      <c r="E308" s="34" t="s">
        <v>642</v>
      </c>
      <c r="F308" s="31" t="s">
        <v>643</v>
      </c>
      <c r="H308" s="40">
        <v>45722</v>
      </c>
      <c r="I308" s="31" t="str">
        <f t="shared" ca="1" si="10"/>
        <v>●</v>
      </c>
      <c r="J308" s="31">
        <f t="shared" si="11"/>
        <v>306</v>
      </c>
    </row>
    <row r="309" spans="2:10" hidden="1">
      <c r="B309" s="35">
        <v>5</v>
      </c>
      <c r="C309" s="31" t="s">
        <v>116</v>
      </c>
      <c r="D309" s="35" t="b">
        <v>1</v>
      </c>
      <c r="E309" s="34" t="s">
        <v>644</v>
      </c>
      <c r="F309" s="31" t="s">
        <v>645</v>
      </c>
      <c r="H309" s="40">
        <v>45722</v>
      </c>
      <c r="I309" s="31" t="str">
        <f t="shared" ca="1" si="10"/>
        <v>●</v>
      </c>
      <c r="J309" s="31">
        <f t="shared" si="11"/>
        <v>307</v>
      </c>
    </row>
    <row r="310" spans="2:10" hidden="1">
      <c r="B310" s="35">
        <v>5</v>
      </c>
      <c r="C310" s="31" t="s">
        <v>116</v>
      </c>
      <c r="D310" s="35" t="b">
        <v>1</v>
      </c>
      <c r="E310" s="34" t="s">
        <v>646</v>
      </c>
      <c r="F310" s="31" t="s">
        <v>647</v>
      </c>
      <c r="H310" s="40">
        <v>45722</v>
      </c>
      <c r="I310" s="31" t="str">
        <f t="shared" ca="1" si="10"/>
        <v>●</v>
      </c>
      <c r="J310" s="31">
        <f t="shared" si="11"/>
        <v>308</v>
      </c>
    </row>
    <row r="311" spans="2:10" hidden="1">
      <c r="B311" s="35">
        <v>5</v>
      </c>
      <c r="C311" s="31" t="s">
        <v>116</v>
      </c>
      <c r="D311" s="35" t="b">
        <v>1</v>
      </c>
      <c r="E311" s="34" t="s">
        <v>648</v>
      </c>
      <c r="F311" s="31" t="s">
        <v>649</v>
      </c>
      <c r="H311" s="40">
        <v>45722</v>
      </c>
      <c r="I311" s="31" t="str">
        <f t="shared" ca="1" si="10"/>
        <v>●</v>
      </c>
      <c r="J311" s="31">
        <f t="shared" si="11"/>
        <v>309</v>
      </c>
    </row>
    <row r="312" spans="2:10" hidden="1">
      <c r="B312" s="35">
        <v>5</v>
      </c>
      <c r="C312" s="31" t="s">
        <v>116</v>
      </c>
      <c r="D312" s="35" t="b">
        <v>1</v>
      </c>
      <c r="E312" s="34" t="s">
        <v>650</v>
      </c>
      <c r="F312" s="31" t="s">
        <v>651</v>
      </c>
      <c r="H312" s="40">
        <v>45722</v>
      </c>
      <c r="I312" s="31" t="str">
        <f t="shared" ca="1" si="10"/>
        <v>●</v>
      </c>
      <c r="J312" s="31">
        <f t="shared" si="11"/>
        <v>310</v>
      </c>
    </row>
    <row r="313" spans="2:10" hidden="1">
      <c r="B313" s="35">
        <v>5</v>
      </c>
      <c r="C313" s="31" t="s">
        <v>116</v>
      </c>
      <c r="D313" s="35" t="b">
        <v>1</v>
      </c>
      <c r="E313" s="34" t="s">
        <v>652</v>
      </c>
      <c r="F313" s="31" t="s">
        <v>653</v>
      </c>
      <c r="H313" s="40">
        <v>45722</v>
      </c>
      <c r="I313" s="31" t="str">
        <f t="shared" ca="1" si="10"/>
        <v>●</v>
      </c>
      <c r="J313" s="31">
        <f t="shared" si="11"/>
        <v>311</v>
      </c>
    </row>
    <row r="314" spans="2:10" hidden="1">
      <c r="B314" s="35">
        <v>5</v>
      </c>
      <c r="C314" s="31" t="s">
        <v>116</v>
      </c>
      <c r="D314" s="35" t="b">
        <v>1</v>
      </c>
      <c r="E314" s="34" t="s">
        <v>654</v>
      </c>
      <c r="F314" s="31" t="s">
        <v>655</v>
      </c>
      <c r="H314" s="40">
        <v>45722</v>
      </c>
      <c r="I314" s="31" t="str">
        <f t="shared" ca="1" si="10"/>
        <v>●</v>
      </c>
      <c r="J314" s="31">
        <f t="shared" si="11"/>
        <v>312</v>
      </c>
    </row>
    <row r="315" spans="2:10" hidden="1">
      <c r="B315" s="35">
        <v>5</v>
      </c>
      <c r="C315" s="31" t="s">
        <v>116</v>
      </c>
      <c r="D315" s="35" t="b">
        <v>1</v>
      </c>
      <c r="E315" s="34" t="s">
        <v>656</v>
      </c>
      <c r="F315" s="31" t="s">
        <v>657</v>
      </c>
      <c r="H315" s="40">
        <v>45722</v>
      </c>
      <c r="I315" s="31" t="str">
        <f t="shared" ca="1" si="10"/>
        <v>●</v>
      </c>
      <c r="J315" s="31">
        <f t="shared" si="11"/>
        <v>313</v>
      </c>
    </row>
    <row r="316" spans="2:10" hidden="1">
      <c r="B316" s="35">
        <v>5</v>
      </c>
      <c r="C316" s="31" t="s">
        <v>116</v>
      </c>
      <c r="D316" s="35" t="b">
        <v>1</v>
      </c>
      <c r="E316" s="34" t="s">
        <v>658</v>
      </c>
      <c r="F316" s="31" t="s">
        <v>659</v>
      </c>
      <c r="H316" s="40">
        <v>45722</v>
      </c>
      <c r="I316" s="31" t="str">
        <f t="shared" ca="1" si="10"/>
        <v>●</v>
      </c>
      <c r="J316" s="31">
        <f t="shared" si="11"/>
        <v>314</v>
      </c>
    </row>
    <row r="317" spans="2:10" hidden="1">
      <c r="B317" s="35">
        <v>5</v>
      </c>
      <c r="C317" s="31" t="s">
        <v>116</v>
      </c>
      <c r="D317" s="35" t="b">
        <v>1</v>
      </c>
      <c r="E317" s="34" t="s">
        <v>660</v>
      </c>
      <c r="F317" s="31" t="s">
        <v>661</v>
      </c>
      <c r="H317" s="40">
        <v>45722</v>
      </c>
      <c r="I317" s="31" t="str">
        <f t="shared" ca="1" si="10"/>
        <v>●</v>
      </c>
      <c r="J317" s="31">
        <f t="shared" si="11"/>
        <v>315</v>
      </c>
    </row>
    <row r="318" spans="2:10" hidden="1">
      <c r="B318" s="35">
        <v>5</v>
      </c>
      <c r="C318" s="31" t="s">
        <v>116</v>
      </c>
      <c r="D318" s="35" t="b">
        <v>1</v>
      </c>
      <c r="E318" s="34" t="s">
        <v>662</v>
      </c>
      <c r="F318" s="31" t="s">
        <v>663</v>
      </c>
      <c r="H318" s="40">
        <v>45722</v>
      </c>
      <c r="I318" s="31" t="str">
        <f t="shared" ca="1" si="10"/>
        <v>●</v>
      </c>
      <c r="J318" s="31">
        <f t="shared" si="11"/>
        <v>316</v>
      </c>
    </row>
    <row r="319" spans="2:10" hidden="1">
      <c r="B319" s="35">
        <v>5</v>
      </c>
      <c r="C319" s="31" t="s">
        <v>116</v>
      </c>
      <c r="D319" s="35" t="b">
        <v>1</v>
      </c>
      <c r="E319" s="34" t="s">
        <v>664</v>
      </c>
      <c r="F319" s="31" t="s">
        <v>665</v>
      </c>
      <c r="H319" s="40">
        <v>45722</v>
      </c>
      <c r="I319" s="31" t="str">
        <f t="shared" ca="1" si="10"/>
        <v>●</v>
      </c>
      <c r="J319" s="31">
        <f t="shared" si="11"/>
        <v>317</v>
      </c>
    </row>
    <row r="320" spans="2:10" hidden="1">
      <c r="B320" s="35">
        <v>5</v>
      </c>
      <c r="C320" s="31" t="s">
        <v>116</v>
      </c>
      <c r="D320" s="35" t="b">
        <v>0</v>
      </c>
      <c r="E320" s="34" t="s">
        <v>666</v>
      </c>
      <c r="F320" s="31" t="s">
        <v>667</v>
      </c>
      <c r="H320" s="40">
        <v>45722</v>
      </c>
      <c r="I320" s="31" t="str">
        <f t="shared" ca="1" si="10"/>
        <v>●</v>
      </c>
      <c r="J320" s="31">
        <f t="shared" si="11"/>
        <v>318</v>
      </c>
    </row>
    <row r="321" spans="2:10" hidden="1">
      <c r="B321" s="35">
        <v>5</v>
      </c>
      <c r="C321" s="31" t="s">
        <v>116</v>
      </c>
      <c r="D321" s="35" t="b">
        <v>1</v>
      </c>
      <c r="E321" s="34" t="s">
        <v>668</v>
      </c>
      <c r="F321" s="31" t="s">
        <v>669</v>
      </c>
      <c r="H321" s="40">
        <v>45722</v>
      </c>
      <c r="I321" s="31" t="str">
        <f t="shared" ca="1" si="10"/>
        <v>●</v>
      </c>
      <c r="J321" s="31">
        <f t="shared" si="11"/>
        <v>319</v>
      </c>
    </row>
    <row r="322" spans="2:10" hidden="1">
      <c r="B322" s="35">
        <v>5</v>
      </c>
      <c r="C322" s="31" t="s">
        <v>116</v>
      </c>
      <c r="D322" s="35" t="b">
        <v>1</v>
      </c>
      <c r="E322" s="34" t="s">
        <v>670</v>
      </c>
      <c r="F322" s="31" t="s">
        <v>671</v>
      </c>
      <c r="H322" s="40">
        <v>45722</v>
      </c>
      <c r="I322" s="31" t="str">
        <f t="shared" ca="1" si="10"/>
        <v>●</v>
      </c>
      <c r="J322" s="31">
        <f t="shared" si="11"/>
        <v>320</v>
      </c>
    </row>
    <row r="323" spans="2:10" hidden="1">
      <c r="B323" s="35">
        <v>5</v>
      </c>
      <c r="C323" s="31" t="s">
        <v>116</v>
      </c>
      <c r="D323" s="35" t="b">
        <v>1</v>
      </c>
      <c r="E323" s="34" t="s">
        <v>672</v>
      </c>
      <c r="F323" s="31" t="s">
        <v>673</v>
      </c>
      <c r="H323" s="40">
        <v>45722</v>
      </c>
      <c r="I323" s="31" t="str">
        <f t="shared" ca="1" si="10"/>
        <v>●</v>
      </c>
      <c r="J323" s="31">
        <f t="shared" si="11"/>
        <v>321</v>
      </c>
    </row>
    <row r="324" spans="2:10" hidden="1">
      <c r="B324" s="35">
        <v>5</v>
      </c>
      <c r="C324" s="31" t="s">
        <v>116</v>
      </c>
      <c r="D324" s="35" t="b">
        <v>1</v>
      </c>
      <c r="E324" s="34" t="s">
        <v>674</v>
      </c>
      <c r="F324" s="31" t="s">
        <v>675</v>
      </c>
      <c r="H324" s="40">
        <v>45722</v>
      </c>
      <c r="I324" s="31" t="str">
        <f t="shared" ca="1" si="10"/>
        <v>●</v>
      </c>
      <c r="J324" s="31">
        <f t="shared" si="11"/>
        <v>322</v>
      </c>
    </row>
    <row r="325" spans="2:10" hidden="1">
      <c r="B325" s="35">
        <v>5</v>
      </c>
      <c r="C325" s="31" t="s">
        <v>116</v>
      </c>
      <c r="D325" s="35" t="b">
        <v>1</v>
      </c>
      <c r="E325" s="34" t="s">
        <v>676</v>
      </c>
      <c r="F325" s="31" t="s">
        <v>677</v>
      </c>
      <c r="H325" s="40">
        <v>45722</v>
      </c>
      <c r="I325" s="31" t="str">
        <f t="shared" ca="1" si="10"/>
        <v>●</v>
      </c>
      <c r="J325" s="31">
        <f t="shared" si="11"/>
        <v>323</v>
      </c>
    </row>
    <row r="326" spans="2:10" hidden="1">
      <c r="B326" s="35">
        <v>5</v>
      </c>
      <c r="C326" s="31" t="s">
        <v>116</v>
      </c>
      <c r="D326" s="35" t="b">
        <v>1</v>
      </c>
      <c r="E326" s="34" t="s">
        <v>678</v>
      </c>
      <c r="F326" s="31" t="s">
        <v>679</v>
      </c>
      <c r="H326" s="40">
        <v>45722</v>
      </c>
      <c r="I326" s="31" t="str">
        <f t="shared" ca="1" si="10"/>
        <v>●</v>
      </c>
      <c r="J326" s="31">
        <f t="shared" si="11"/>
        <v>324</v>
      </c>
    </row>
    <row r="327" spans="2:10" hidden="1">
      <c r="B327" s="35">
        <v>5</v>
      </c>
      <c r="C327" s="31" t="s">
        <v>116</v>
      </c>
      <c r="D327" s="35" t="b">
        <v>1</v>
      </c>
      <c r="E327" s="34" t="s">
        <v>680</v>
      </c>
      <c r="F327" s="31" t="s">
        <v>681</v>
      </c>
      <c r="H327" s="40">
        <v>45722</v>
      </c>
      <c r="I327" s="31" t="str">
        <f t="shared" ca="1" si="10"/>
        <v>●</v>
      </c>
      <c r="J327" s="31">
        <f t="shared" si="11"/>
        <v>325</v>
      </c>
    </row>
    <row r="328" spans="2:10" hidden="1">
      <c r="B328" s="35">
        <v>5</v>
      </c>
      <c r="C328" s="31" t="s">
        <v>116</v>
      </c>
      <c r="D328" s="35" t="b">
        <v>1</v>
      </c>
      <c r="E328" s="34" t="s">
        <v>682</v>
      </c>
      <c r="F328" s="31" t="s">
        <v>683</v>
      </c>
      <c r="H328" s="40">
        <v>45722</v>
      </c>
      <c r="I328" s="31" t="str">
        <f t="shared" ca="1" si="10"/>
        <v>●</v>
      </c>
      <c r="J328" s="31">
        <f t="shared" si="11"/>
        <v>326</v>
      </c>
    </row>
    <row r="329" spans="2:10" hidden="1">
      <c r="B329" s="35">
        <v>5</v>
      </c>
      <c r="C329" s="31" t="s">
        <v>116</v>
      </c>
      <c r="D329" s="35" t="b">
        <v>1</v>
      </c>
      <c r="E329" s="34" t="s">
        <v>684</v>
      </c>
      <c r="F329" s="31" t="s">
        <v>685</v>
      </c>
      <c r="H329" s="40">
        <v>45722</v>
      </c>
      <c r="I329" s="31" t="str">
        <f t="shared" ca="1" si="10"/>
        <v>●</v>
      </c>
      <c r="J329" s="31">
        <f t="shared" si="11"/>
        <v>327</v>
      </c>
    </row>
    <row r="330" spans="2:10" hidden="1">
      <c r="B330" s="35">
        <v>5</v>
      </c>
      <c r="C330" s="31" t="s">
        <v>116</v>
      </c>
      <c r="D330" s="35" t="b">
        <v>1</v>
      </c>
      <c r="E330" s="34" t="s">
        <v>686</v>
      </c>
      <c r="F330" s="31" t="s">
        <v>687</v>
      </c>
      <c r="H330" s="40">
        <v>45722</v>
      </c>
      <c r="I330" s="31" t="str">
        <f t="shared" ca="1" si="10"/>
        <v>●</v>
      </c>
      <c r="J330" s="31">
        <f t="shared" si="11"/>
        <v>328</v>
      </c>
    </row>
    <row r="331" spans="2:10" hidden="1">
      <c r="B331" s="35">
        <v>5</v>
      </c>
      <c r="C331" s="31" t="s">
        <v>116</v>
      </c>
      <c r="D331" s="35" t="b">
        <v>1</v>
      </c>
      <c r="E331" s="34" t="s">
        <v>688</v>
      </c>
      <c r="F331" s="31" t="s">
        <v>689</v>
      </c>
      <c r="H331" s="40">
        <v>45722</v>
      </c>
      <c r="I331" s="31" t="str">
        <f t="shared" ca="1" si="10"/>
        <v>●</v>
      </c>
      <c r="J331" s="31">
        <f t="shared" si="11"/>
        <v>329</v>
      </c>
    </row>
    <row r="332" spans="2:10" hidden="1">
      <c r="B332" s="35">
        <v>5</v>
      </c>
      <c r="C332" s="31" t="s">
        <v>116</v>
      </c>
      <c r="D332" s="35" t="b">
        <v>1</v>
      </c>
      <c r="E332" s="34" t="s">
        <v>690</v>
      </c>
      <c r="F332" s="31" t="s">
        <v>691</v>
      </c>
      <c r="H332" s="40">
        <v>45722</v>
      </c>
      <c r="I332" s="31" t="str">
        <f t="shared" ca="1" si="10"/>
        <v>●</v>
      </c>
      <c r="J332" s="31">
        <f t="shared" si="11"/>
        <v>330</v>
      </c>
    </row>
    <row r="333" spans="2:10" hidden="1">
      <c r="B333" s="35">
        <v>5</v>
      </c>
      <c r="C333" s="31" t="s">
        <v>116</v>
      </c>
      <c r="D333" s="35" t="b">
        <v>1</v>
      </c>
      <c r="E333" s="34" t="s">
        <v>692</v>
      </c>
      <c r="F333" s="31" t="s">
        <v>693</v>
      </c>
      <c r="H333" s="40">
        <v>45722</v>
      </c>
      <c r="I333" s="31" t="str">
        <f t="shared" ca="1" si="10"/>
        <v>●</v>
      </c>
      <c r="J333" s="31">
        <f t="shared" si="11"/>
        <v>331</v>
      </c>
    </row>
    <row r="334" spans="2:10" hidden="1">
      <c r="B334" s="35">
        <v>5</v>
      </c>
      <c r="C334" s="31" t="s">
        <v>116</v>
      </c>
      <c r="D334" s="35" t="b">
        <v>1</v>
      </c>
      <c r="E334" s="34" t="s">
        <v>694</v>
      </c>
      <c r="F334" s="31" t="s">
        <v>695</v>
      </c>
      <c r="H334" s="40">
        <v>45722</v>
      </c>
      <c r="I334" s="31" t="str">
        <f t="shared" ca="1" si="10"/>
        <v>●</v>
      </c>
      <c r="J334" s="31">
        <f t="shared" si="11"/>
        <v>332</v>
      </c>
    </row>
    <row r="335" spans="2:10" hidden="1">
      <c r="B335" s="35">
        <v>5</v>
      </c>
      <c r="C335" s="31" t="s">
        <v>116</v>
      </c>
      <c r="D335" s="35" t="b">
        <v>1</v>
      </c>
      <c r="E335" s="34" t="s">
        <v>696</v>
      </c>
      <c r="F335" s="31" t="s">
        <v>697</v>
      </c>
      <c r="H335" s="40">
        <v>45722</v>
      </c>
      <c r="I335" s="31" t="str">
        <f t="shared" ca="1" si="10"/>
        <v>●</v>
      </c>
      <c r="J335" s="31">
        <f t="shared" si="11"/>
        <v>333</v>
      </c>
    </row>
    <row r="336" spans="2:10" hidden="1">
      <c r="B336" s="35">
        <v>5</v>
      </c>
      <c r="C336" s="31" t="s">
        <v>116</v>
      </c>
      <c r="D336" s="35" t="b">
        <v>1</v>
      </c>
      <c r="E336" s="34" t="s">
        <v>698</v>
      </c>
      <c r="F336" s="31" t="s">
        <v>699</v>
      </c>
      <c r="H336" s="40">
        <v>45722</v>
      </c>
      <c r="I336" s="31" t="str">
        <f t="shared" ca="1" si="10"/>
        <v>●</v>
      </c>
      <c r="J336" s="31">
        <f t="shared" si="11"/>
        <v>334</v>
      </c>
    </row>
    <row r="337" spans="2:10" hidden="1">
      <c r="B337" s="35">
        <v>5</v>
      </c>
      <c r="C337" s="31" t="s">
        <v>116</v>
      </c>
      <c r="D337" s="35" t="b">
        <v>1</v>
      </c>
      <c r="E337" s="34" t="s">
        <v>700</v>
      </c>
      <c r="F337" s="31" t="s">
        <v>701</v>
      </c>
      <c r="H337" s="40">
        <v>45722</v>
      </c>
      <c r="I337" s="31" t="str">
        <f t="shared" ca="1" si="10"/>
        <v>●</v>
      </c>
      <c r="J337" s="31">
        <f t="shared" si="11"/>
        <v>335</v>
      </c>
    </row>
    <row r="338" spans="2:10" hidden="1">
      <c r="B338" s="35">
        <v>5</v>
      </c>
      <c r="C338" s="31" t="s">
        <v>116</v>
      </c>
      <c r="D338" s="35" t="b">
        <v>1</v>
      </c>
      <c r="E338" s="34" t="s">
        <v>702</v>
      </c>
      <c r="F338" s="31" t="s">
        <v>703</v>
      </c>
      <c r="H338" s="40">
        <v>45722</v>
      </c>
      <c r="I338" s="31" t="str">
        <f t="shared" ref="I338:I401" ca="1" si="12">IF(H338-$G$1&lt;=0,"●","")</f>
        <v>●</v>
      </c>
      <c r="J338" s="31">
        <f t="shared" ref="J338:J401" si="13">ROW()-2</f>
        <v>336</v>
      </c>
    </row>
    <row r="339" spans="2:10" hidden="1">
      <c r="B339" s="35">
        <v>5</v>
      </c>
      <c r="C339" s="31" t="s">
        <v>116</v>
      </c>
      <c r="D339" s="35" t="b">
        <v>1</v>
      </c>
      <c r="E339" s="34" t="s">
        <v>704</v>
      </c>
      <c r="F339" s="31" t="s">
        <v>705</v>
      </c>
      <c r="H339" s="40">
        <v>45722</v>
      </c>
      <c r="I339" s="31" t="str">
        <f t="shared" ca="1" si="12"/>
        <v>●</v>
      </c>
      <c r="J339" s="31">
        <f t="shared" si="13"/>
        <v>337</v>
      </c>
    </row>
    <row r="340" spans="2:10" hidden="1">
      <c r="B340" s="35">
        <v>5</v>
      </c>
      <c r="C340" s="31" t="s">
        <v>116</v>
      </c>
      <c r="D340" s="35" t="b">
        <v>1</v>
      </c>
      <c r="E340" s="34" t="s">
        <v>706</v>
      </c>
      <c r="F340" s="31" t="s">
        <v>707</v>
      </c>
      <c r="H340" s="40">
        <v>45722</v>
      </c>
      <c r="I340" s="31" t="str">
        <f t="shared" ca="1" si="12"/>
        <v>●</v>
      </c>
      <c r="J340" s="31">
        <f t="shared" si="13"/>
        <v>338</v>
      </c>
    </row>
    <row r="341" spans="2:10" hidden="1">
      <c r="B341" s="35">
        <v>5</v>
      </c>
      <c r="C341" s="31" t="s">
        <v>116</v>
      </c>
      <c r="D341" s="35" t="b">
        <v>1</v>
      </c>
      <c r="E341" s="34" t="s">
        <v>708</v>
      </c>
      <c r="F341" s="31" t="s">
        <v>709</v>
      </c>
      <c r="H341" s="40">
        <v>45722</v>
      </c>
      <c r="I341" s="31" t="str">
        <f t="shared" ca="1" si="12"/>
        <v>●</v>
      </c>
      <c r="J341" s="31">
        <f t="shared" si="13"/>
        <v>339</v>
      </c>
    </row>
    <row r="342" spans="2:10" hidden="1">
      <c r="B342" s="35">
        <v>5</v>
      </c>
      <c r="C342" s="31" t="s">
        <v>116</v>
      </c>
      <c r="D342" s="35" t="b">
        <v>0</v>
      </c>
      <c r="E342" s="34" t="s">
        <v>710</v>
      </c>
      <c r="F342" s="31" t="s">
        <v>711</v>
      </c>
      <c r="H342" s="40">
        <v>45722</v>
      </c>
      <c r="I342" s="31" t="str">
        <f t="shared" ca="1" si="12"/>
        <v>●</v>
      </c>
      <c r="J342" s="31">
        <f t="shared" si="13"/>
        <v>340</v>
      </c>
    </row>
    <row r="343" spans="2:10" hidden="1">
      <c r="B343" s="35">
        <v>5</v>
      </c>
      <c r="C343" s="31" t="s">
        <v>116</v>
      </c>
      <c r="D343" s="35" t="b">
        <v>1</v>
      </c>
      <c r="E343" s="34" t="s">
        <v>712</v>
      </c>
      <c r="F343" s="31" t="s">
        <v>713</v>
      </c>
      <c r="H343" s="40">
        <v>45722</v>
      </c>
      <c r="I343" s="31" t="str">
        <f t="shared" ca="1" si="12"/>
        <v>●</v>
      </c>
      <c r="J343" s="31">
        <f t="shared" si="13"/>
        <v>341</v>
      </c>
    </row>
    <row r="344" spans="2:10" hidden="1">
      <c r="B344" s="35">
        <v>5</v>
      </c>
      <c r="C344" s="31" t="s">
        <v>116</v>
      </c>
      <c r="D344" s="35" t="b">
        <v>1</v>
      </c>
      <c r="E344" s="34" t="s">
        <v>714</v>
      </c>
      <c r="F344" s="31" t="s">
        <v>715</v>
      </c>
      <c r="H344" s="40">
        <v>45722</v>
      </c>
      <c r="I344" s="31" t="str">
        <f t="shared" ca="1" si="12"/>
        <v>●</v>
      </c>
      <c r="J344" s="31">
        <f t="shared" si="13"/>
        <v>342</v>
      </c>
    </row>
    <row r="345" spans="2:10" hidden="1">
      <c r="B345" s="35">
        <v>5</v>
      </c>
      <c r="C345" s="31" t="s">
        <v>116</v>
      </c>
      <c r="D345" s="35" t="b">
        <v>1</v>
      </c>
      <c r="E345" s="34" t="s">
        <v>716</v>
      </c>
      <c r="F345" s="31" t="s">
        <v>717</v>
      </c>
      <c r="H345" s="40">
        <v>45722</v>
      </c>
      <c r="I345" s="31" t="str">
        <f t="shared" ca="1" si="12"/>
        <v>●</v>
      </c>
      <c r="J345" s="31">
        <f t="shared" si="13"/>
        <v>343</v>
      </c>
    </row>
    <row r="346" spans="2:10" hidden="1">
      <c r="B346" s="35">
        <v>5</v>
      </c>
      <c r="C346" s="31" t="s">
        <v>116</v>
      </c>
      <c r="D346" s="35" t="b">
        <v>1</v>
      </c>
      <c r="E346" s="34" t="s">
        <v>718</v>
      </c>
      <c r="F346" s="31" t="s">
        <v>719</v>
      </c>
      <c r="H346" s="40">
        <v>45722</v>
      </c>
      <c r="I346" s="31" t="str">
        <f t="shared" ca="1" si="12"/>
        <v>●</v>
      </c>
      <c r="J346" s="31">
        <f t="shared" si="13"/>
        <v>344</v>
      </c>
    </row>
    <row r="347" spans="2:10" hidden="1">
      <c r="B347" s="35">
        <v>5</v>
      </c>
      <c r="C347" s="31" t="s">
        <v>116</v>
      </c>
      <c r="D347" s="35" t="b">
        <v>1</v>
      </c>
      <c r="E347" s="34" t="s">
        <v>720</v>
      </c>
      <c r="F347" s="31" t="s">
        <v>721</v>
      </c>
      <c r="H347" s="40">
        <v>45722</v>
      </c>
      <c r="I347" s="31" t="str">
        <f t="shared" ca="1" si="12"/>
        <v>●</v>
      </c>
      <c r="J347" s="31">
        <f t="shared" si="13"/>
        <v>345</v>
      </c>
    </row>
    <row r="348" spans="2:10" hidden="1">
      <c r="B348" s="35">
        <v>5</v>
      </c>
      <c r="C348" s="31" t="s">
        <v>116</v>
      </c>
      <c r="D348" s="35" t="b">
        <v>1</v>
      </c>
      <c r="E348" s="34" t="s">
        <v>722</v>
      </c>
      <c r="F348" s="31" t="s">
        <v>723</v>
      </c>
      <c r="H348" s="40">
        <v>45722</v>
      </c>
      <c r="I348" s="31" t="str">
        <f t="shared" ca="1" si="12"/>
        <v>●</v>
      </c>
      <c r="J348" s="31">
        <f t="shared" si="13"/>
        <v>346</v>
      </c>
    </row>
    <row r="349" spans="2:10" hidden="1">
      <c r="B349" s="35">
        <v>5</v>
      </c>
      <c r="C349" s="31" t="s">
        <v>116</v>
      </c>
      <c r="D349" s="35" t="b">
        <v>1</v>
      </c>
      <c r="E349" s="34" t="s">
        <v>724</v>
      </c>
      <c r="F349" s="31" t="s">
        <v>725</v>
      </c>
      <c r="H349" s="40">
        <v>45722</v>
      </c>
      <c r="I349" s="31" t="str">
        <f t="shared" ca="1" si="12"/>
        <v>●</v>
      </c>
      <c r="J349" s="31">
        <f t="shared" si="13"/>
        <v>347</v>
      </c>
    </row>
    <row r="350" spans="2:10" hidden="1">
      <c r="B350" s="35">
        <v>5</v>
      </c>
      <c r="C350" s="31" t="s">
        <v>116</v>
      </c>
      <c r="D350" s="35" t="b">
        <v>1</v>
      </c>
      <c r="E350" s="34" t="s">
        <v>726</v>
      </c>
      <c r="F350" s="31" t="s">
        <v>727</v>
      </c>
      <c r="H350" s="40">
        <v>45722</v>
      </c>
      <c r="I350" s="31" t="str">
        <f t="shared" ca="1" si="12"/>
        <v>●</v>
      </c>
      <c r="J350" s="31">
        <f t="shared" si="13"/>
        <v>348</v>
      </c>
    </row>
    <row r="351" spans="2:10" hidden="1">
      <c r="B351" s="35">
        <v>5</v>
      </c>
      <c r="C351" s="31" t="s">
        <v>116</v>
      </c>
      <c r="D351" s="35" t="b">
        <v>1</v>
      </c>
      <c r="E351" s="34" t="s">
        <v>728</v>
      </c>
      <c r="F351" s="31" t="s">
        <v>729</v>
      </c>
      <c r="H351" s="40">
        <v>45722</v>
      </c>
      <c r="I351" s="31" t="str">
        <f t="shared" ca="1" si="12"/>
        <v>●</v>
      </c>
      <c r="J351" s="31">
        <f t="shared" si="13"/>
        <v>349</v>
      </c>
    </row>
    <row r="352" spans="2:10" hidden="1">
      <c r="B352" s="35">
        <v>5</v>
      </c>
      <c r="C352" s="31" t="s">
        <v>116</v>
      </c>
      <c r="D352" s="35" t="b">
        <v>1</v>
      </c>
      <c r="E352" s="34" t="s">
        <v>730</v>
      </c>
      <c r="F352" s="31" t="s">
        <v>731</v>
      </c>
      <c r="H352" s="40">
        <v>45722</v>
      </c>
      <c r="I352" s="31" t="str">
        <f t="shared" ca="1" si="12"/>
        <v>●</v>
      </c>
      <c r="J352" s="31">
        <f t="shared" si="13"/>
        <v>350</v>
      </c>
    </row>
    <row r="353" spans="2:10" hidden="1">
      <c r="B353" s="35">
        <v>5</v>
      </c>
      <c r="C353" s="31" t="s">
        <v>116</v>
      </c>
      <c r="D353" s="35" t="b">
        <v>1</v>
      </c>
      <c r="E353" s="34" t="s">
        <v>732</v>
      </c>
      <c r="F353" s="31" t="s">
        <v>733</v>
      </c>
      <c r="H353" s="40">
        <v>45722</v>
      </c>
      <c r="I353" s="31" t="str">
        <f t="shared" ca="1" si="12"/>
        <v>●</v>
      </c>
      <c r="J353" s="31">
        <f t="shared" si="13"/>
        <v>351</v>
      </c>
    </row>
    <row r="354" spans="2:10" hidden="1">
      <c r="B354" s="35">
        <v>5</v>
      </c>
      <c r="C354" s="31" t="s">
        <v>116</v>
      </c>
      <c r="D354" s="35" t="b">
        <v>0</v>
      </c>
      <c r="E354" s="34" t="s">
        <v>734</v>
      </c>
      <c r="F354" s="31" t="s">
        <v>735</v>
      </c>
      <c r="H354" s="40">
        <v>45722</v>
      </c>
      <c r="I354" s="31" t="str">
        <f t="shared" ca="1" si="12"/>
        <v>●</v>
      </c>
      <c r="J354" s="31">
        <f t="shared" si="13"/>
        <v>352</v>
      </c>
    </row>
    <row r="355" spans="2:10" hidden="1">
      <c r="B355" s="35">
        <v>5</v>
      </c>
      <c r="C355" s="31" t="s">
        <v>116</v>
      </c>
      <c r="D355" s="35" t="b">
        <v>1</v>
      </c>
      <c r="E355" s="34" t="s">
        <v>736</v>
      </c>
      <c r="F355" s="31" t="s">
        <v>737</v>
      </c>
      <c r="H355" s="40">
        <v>45722</v>
      </c>
      <c r="I355" s="31" t="str">
        <f t="shared" ca="1" si="12"/>
        <v>●</v>
      </c>
      <c r="J355" s="31">
        <f t="shared" si="13"/>
        <v>353</v>
      </c>
    </row>
    <row r="356" spans="2:10" hidden="1">
      <c r="B356" s="35">
        <v>5</v>
      </c>
      <c r="C356" s="31" t="s">
        <v>116</v>
      </c>
      <c r="D356" s="35" t="b">
        <v>1</v>
      </c>
      <c r="E356" s="34" t="s">
        <v>738</v>
      </c>
      <c r="F356" s="31" t="s">
        <v>739</v>
      </c>
      <c r="H356" s="40">
        <v>45722</v>
      </c>
      <c r="I356" s="31" t="str">
        <f t="shared" ca="1" si="12"/>
        <v>●</v>
      </c>
      <c r="J356" s="31">
        <f t="shared" si="13"/>
        <v>354</v>
      </c>
    </row>
    <row r="357" spans="2:10" hidden="1">
      <c r="B357" s="35">
        <v>5</v>
      </c>
      <c r="C357" s="31" t="s">
        <v>116</v>
      </c>
      <c r="D357" s="35" t="b">
        <v>1</v>
      </c>
      <c r="E357" s="34" t="s">
        <v>740</v>
      </c>
      <c r="F357" s="31" t="s">
        <v>741</v>
      </c>
      <c r="H357" s="40">
        <v>45722</v>
      </c>
      <c r="I357" s="31" t="str">
        <f t="shared" ca="1" si="12"/>
        <v>●</v>
      </c>
      <c r="J357" s="31">
        <f t="shared" si="13"/>
        <v>355</v>
      </c>
    </row>
    <row r="358" spans="2:10" hidden="1">
      <c r="B358" s="35">
        <v>5</v>
      </c>
      <c r="C358" s="31" t="s">
        <v>116</v>
      </c>
      <c r="D358" s="35" t="b">
        <v>1</v>
      </c>
      <c r="E358" s="34" t="s">
        <v>742</v>
      </c>
      <c r="F358" s="31" t="s">
        <v>743</v>
      </c>
      <c r="H358" s="40">
        <v>45722</v>
      </c>
      <c r="I358" s="31" t="str">
        <f t="shared" ca="1" si="12"/>
        <v>●</v>
      </c>
      <c r="J358" s="31">
        <f t="shared" si="13"/>
        <v>356</v>
      </c>
    </row>
    <row r="359" spans="2:10" hidden="1">
      <c r="B359" s="35">
        <v>5</v>
      </c>
      <c r="C359" s="31" t="s">
        <v>116</v>
      </c>
      <c r="D359" s="35" t="b">
        <v>1</v>
      </c>
      <c r="E359" s="34" t="s">
        <v>744</v>
      </c>
      <c r="F359" s="31" t="s">
        <v>745</v>
      </c>
      <c r="H359" s="40">
        <v>45722</v>
      </c>
      <c r="I359" s="31" t="str">
        <f t="shared" ca="1" si="12"/>
        <v>●</v>
      </c>
      <c r="J359" s="31">
        <f t="shared" si="13"/>
        <v>357</v>
      </c>
    </row>
    <row r="360" spans="2:10" hidden="1">
      <c r="B360" s="35">
        <v>5</v>
      </c>
      <c r="C360" s="31" t="s">
        <v>116</v>
      </c>
      <c r="D360" s="35" t="b">
        <v>1</v>
      </c>
      <c r="E360" s="34" t="s">
        <v>746</v>
      </c>
      <c r="F360" s="31" t="s">
        <v>747</v>
      </c>
      <c r="H360" s="40">
        <v>45722</v>
      </c>
      <c r="I360" s="31" t="str">
        <f t="shared" ca="1" si="12"/>
        <v>●</v>
      </c>
      <c r="J360" s="31">
        <f t="shared" si="13"/>
        <v>358</v>
      </c>
    </row>
    <row r="361" spans="2:10" hidden="1">
      <c r="B361" s="35">
        <v>5</v>
      </c>
      <c r="C361" s="31" t="s">
        <v>116</v>
      </c>
      <c r="D361" s="35" t="b">
        <v>0</v>
      </c>
      <c r="E361" s="34" t="s">
        <v>748</v>
      </c>
      <c r="F361" s="31" t="s">
        <v>749</v>
      </c>
      <c r="H361" s="40">
        <v>45722</v>
      </c>
      <c r="I361" s="31" t="str">
        <f t="shared" ca="1" si="12"/>
        <v>●</v>
      </c>
      <c r="J361" s="31">
        <f t="shared" si="13"/>
        <v>359</v>
      </c>
    </row>
    <row r="362" spans="2:10" hidden="1">
      <c r="B362" s="35">
        <v>5</v>
      </c>
      <c r="C362" s="31" t="s">
        <v>116</v>
      </c>
      <c r="D362" s="35" t="b">
        <v>1</v>
      </c>
      <c r="E362" s="34" t="s">
        <v>750</v>
      </c>
      <c r="F362" s="31" t="s">
        <v>751</v>
      </c>
      <c r="H362" s="40">
        <v>45722</v>
      </c>
      <c r="I362" s="31" t="str">
        <f t="shared" ca="1" si="12"/>
        <v>●</v>
      </c>
      <c r="J362" s="31">
        <f t="shared" si="13"/>
        <v>360</v>
      </c>
    </row>
    <row r="363" spans="2:10" hidden="1">
      <c r="B363" s="35">
        <v>5</v>
      </c>
      <c r="C363" s="31" t="s">
        <v>116</v>
      </c>
      <c r="D363" s="35" t="b">
        <v>1</v>
      </c>
      <c r="E363" s="34" t="s">
        <v>752</v>
      </c>
      <c r="F363" s="31" t="s">
        <v>753</v>
      </c>
      <c r="H363" s="40">
        <v>45722</v>
      </c>
      <c r="I363" s="31" t="str">
        <f t="shared" ca="1" si="12"/>
        <v>●</v>
      </c>
      <c r="J363" s="31">
        <f t="shared" si="13"/>
        <v>361</v>
      </c>
    </row>
    <row r="364" spans="2:10" hidden="1">
      <c r="B364" s="35">
        <v>5</v>
      </c>
      <c r="C364" s="31" t="s">
        <v>116</v>
      </c>
      <c r="D364" s="35" t="b">
        <v>1</v>
      </c>
      <c r="E364" s="34" t="s">
        <v>754</v>
      </c>
      <c r="F364" s="31" t="s">
        <v>755</v>
      </c>
      <c r="H364" s="40">
        <v>45722</v>
      </c>
      <c r="I364" s="31" t="str">
        <f t="shared" ca="1" si="12"/>
        <v>●</v>
      </c>
      <c r="J364" s="31">
        <f t="shared" si="13"/>
        <v>362</v>
      </c>
    </row>
    <row r="365" spans="2:10" hidden="1">
      <c r="B365" s="35">
        <v>5</v>
      </c>
      <c r="C365" s="31" t="s">
        <v>116</v>
      </c>
      <c r="D365" s="35" t="b">
        <v>1</v>
      </c>
      <c r="E365" s="34" t="s">
        <v>756</v>
      </c>
      <c r="F365" s="31" t="s">
        <v>757</v>
      </c>
      <c r="H365" s="40">
        <v>45722</v>
      </c>
      <c r="I365" s="31" t="str">
        <f t="shared" ca="1" si="12"/>
        <v>●</v>
      </c>
      <c r="J365" s="31">
        <f t="shared" si="13"/>
        <v>363</v>
      </c>
    </row>
    <row r="366" spans="2:10" hidden="1">
      <c r="B366" s="35">
        <v>5</v>
      </c>
      <c r="C366" s="31" t="s">
        <v>116</v>
      </c>
      <c r="D366" s="35" t="b">
        <v>1</v>
      </c>
      <c r="E366" s="34" t="s">
        <v>758</v>
      </c>
      <c r="F366" s="31" t="s">
        <v>759</v>
      </c>
      <c r="H366" s="40">
        <v>45722</v>
      </c>
      <c r="I366" s="31" t="str">
        <f t="shared" ca="1" si="12"/>
        <v>●</v>
      </c>
      <c r="J366" s="31">
        <f t="shared" si="13"/>
        <v>364</v>
      </c>
    </row>
    <row r="367" spans="2:10" hidden="1">
      <c r="B367" s="35">
        <v>5</v>
      </c>
      <c r="C367" s="31" t="s">
        <v>116</v>
      </c>
      <c r="D367" s="35" t="b">
        <v>1</v>
      </c>
      <c r="E367" s="34" t="s">
        <v>760</v>
      </c>
      <c r="F367" s="31" t="s">
        <v>761</v>
      </c>
      <c r="H367" s="40">
        <v>45722</v>
      </c>
      <c r="I367" s="31" t="str">
        <f t="shared" ca="1" si="12"/>
        <v>●</v>
      </c>
      <c r="J367" s="31">
        <f t="shared" si="13"/>
        <v>365</v>
      </c>
    </row>
    <row r="368" spans="2:10" hidden="1">
      <c r="B368" s="35">
        <v>5</v>
      </c>
      <c r="C368" s="31" t="s">
        <v>116</v>
      </c>
      <c r="D368" s="35" t="b">
        <v>1</v>
      </c>
      <c r="E368" s="34" t="s">
        <v>762</v>
      </c>
      <c r="F368" s="31" t="s">
        <v>763</v>
      </c>
      <c r="H368" s="40">
        <v>45722</v>
      </c>
      <c r="I368" s="31" t="str">
        <f t="shared" ca="1" si="12"/>
        <v>●</v>
      </c>
      <c r="J368" s="31">
        <f t="shared" si="13"/>
        <v>366</v>
      </c>
    </row>
    <row r="369" spans="2:10" hidden="1">
      <c r="B369" s="35">
        <v>5</v>
      </c>
      <c r="C369" s="31" t="s">
        <v>116</v>
      </c>
      <c r="D369" s="35" t="b">
        <v>1</v>
      </c>
      <c r="E369" s="34" t="s">
        <v>764</v>
      </c>
      <c r="F369" s="31" t="s">
        <v>765</v>
      </c>
      <c r="H369" s="40">
        <v>45722</v>
      </c>
      <c r="I369" s="31" t="str">
        <f t="shared" ca="1" si="12"/>
        <v>●</v>
      </c>
      <c r="J369" s="31">
        <f t="shared" si="13"/>
        <v>367</v>
      </c>
    </row>
    <row r="370" spans="2:10" hidden="1">
      <c r="B370" s="35">
        <v>5</v>
      </c>
      <c r="C370" s="31" t="s">
        <v>116</v>
      </c>
      <c r="D370" s="35" t="b">
        <v>1</v>
      </c>
      <c r="E370" s="34" t="s">
        <v>766</v>
      </c>
      <c r="F370" s="31" t="s">
        <v>767</v>
      </c>
      <c r="H370" s="40">
        <v>45722</v>
      </c>
      <c r="I370" s="31" t="str">
        <f t="shared" ca="1" si="12"/>
        <v>●</v>
      </c>
      <c r="J370" s="31">
        <f t="shared" si="13"/>
        <v>368</v>
      </c>
    </row>
    <row r="371" spans="2:10" hidden="1">
      <c r="B371" s="35">
        <v>5</v>
      </c>
      <c r="C371" s="31" t="s">
        <v>116</v>
      </c>
      <c r="D371" s="35" t="b">
        <v>1</v>
      </c>
      <c r="E371" s="34" t="s">
        <v>768</v>
      </c>
      <c r="F371" s="31" t="s">
        <v>769</v>
      </c>
      <c r="H371" s="40">
        <v>45722</v>
      </c>
      <c r="I371" s="31" t="str">
        <f t="shared" ca="1" si="12"/>
        <v>●</v>
      </c>
      <c r="J371" s="31">
        <f t="shared" si="13"/>
        <v>369</v>
      </c>
    </row>
    <row r="372" spans="2:10" hidden="1">
      <c r="B372" s="35">
        <v>5</v>
      </c>
      <c r="C372" s="31" t="s">
        <v>116</v>
      </c>
      <c r="D372" s="35" t="b">
        <v>1</v>
      </c>
      <c r="E372" s="34" t="s">
        <v>770</v>
      </c>
      <c r="F372" s="31" t="s">
        <v>771</v>
      </c>
      <c r="H372" s="40">
        <v>45722</v>
      </c>
      <c r="I372" s="31" t="str">
        <f t="shared" ca="1" si="12"/>
        <v>●</v>
      </c>
      <c r="J372" s="31">
        <f t="shared" si="13"/>
        <v>370</v>
      </c>
    </row>
    <row r="373" spans="2:10" hidden="1">
      <c r="B373" s="35">
        <v>5</v>
      </c>
      <c r="C373" s="31" t="s">
        <v>116</v>
      </c>
      <c r="D373" s="35" t="b">
        <v>1</v>
      </c>
      <c r="E373" s="34" t="s">
        <v>772</v>
      </c>
      <c r="F373" s="31" t="s">
        <v>773</v>
      </c>
      <c r="H373" s="40">
        <v>45722</v>
      </c>
      <c r="I373" s="31" t="str">
        <f t="shared" ca="1" si="12"/>
        <v>●</v>
      </c>
      <c r="J373" s="31">
        <f t="shared" si="13"/>
        <v>371</v>
      </c>
    </row>
    <row r="374" spans="2:10" hidden="1">
      <c r="B374" s="35">
        <v>5</v>
      </c>
      <c r="C374" s="31" t="s">
        <v>116</v>
      </c>
      <c r="D374" s="35" t="b">
        <v>0</v>
      </c>
      <c r="E374" s="34" t="s">
        <v>774</v>
      </c>
      <c r="F374" s="31" t="s">
        <v>775</v>
      </c>
      <c r="H374" s="40">
        <v>45722</v>
      </c>
      <c r="I374" s="31" t="str">
        <f t="shared" ca="1" si="12"/>
        <v>●</v>
      </c>
      <c r="J374" s="31">
        <f t="shared" si="13"/>
        <v>372</v>
      </c>
    </row>
    <row r="375" spans="2:10" hidden="1">
      <c r="B375" s="35">
        <v>5</v>
      </c>
      <c r="C375" s="31" t="s">
        <v>116</v>
      </c>
      <c r="D375" s="35" t="b">
        <v>0</v>
      </c>
      <c r="E375" s="34" t="s">
        <v>776</v>
      </c>
      <c r="F375" s="31" t="s">
        <v>777</v>
      </c>
      <c r="H375" s="40">
        <v>45722</v>
      </c>
      <c r="I375" s="31" t="str">
        <f t="shared" ca="1" si="12"/>
        <v>●</v>
      </c>
      <c r="J375" s="31">
        <f t="shared" si="13"/>
        <v>373</v>
      </c>
    </row>
    <row r="376" spans="2:10" hidden="1">
      <c r="B376" s="35">
        <v>5</v>
      </c>
      <c r="C376" s="31" t="s">
        <v>116</v>
      </c>
      <c r="D376" s="35" t="b">
        <v>1</v>
      </c>
      <c r="E376" s="34" t="s">
        <v>778</v>
      </c>
      <c r="F376" s="31" t="s">
        <v>779</v>
      </c>
      <c r="H376" s="40">
        <v>45722</v>
      </c>
      <c r="I376" s="31" t="str">
        <f t="shared" ca="1" si="12"/>
        <v>●</v>
      </c>
      <c r="J376" s="31">
        <f t="shared" si="13"/>
        <v>374</v>
      </c>
    </row>
    <row r="377" spans="2:10" hidden="1">
      <c r="B377" s="35">
        <v>5</v>
      </c>
      <c r="C377" s="31" t="s">
        <v>116</v>
      </c>
      <c r="D377" s="35" t="b">
        <v>1</v>
      </c>
      <c r="E377" s="34" t="s">
        <v>780</v>
      </c>
      <c r="F377" s="31" t="s">
        <v>781</v>
      </c>
      <c r="H377" s="40">
        <v>45722</v>
      </c>
      <c r="I377" s="31" t="str">
        <f t="shared" ca="1" si="12"/>
        <v>●</v>
      </c>
      <c r="J377" s="31">
        <f t="shared" si="13"/>
        <v>375</v>
      </c>
    </row>
    <row r="378" spans="2:10" hidden="1">
      <c r="B378" s="35">
        <v>5</v>
      </c>
      <c r="C378" s="31" t="s">
        <v>116</v>
      </c>
      <c r="D378" s="35" t="b">
        <v>1</v>
      </c>
      <c r="E378" s="34" t="s">
        <v>782</v>
      </c>
      <c r="F378" s="31" t="s">
        <v>783</v>
      </c>
      <c r="H378" s="40">
        <v>45722</v>
      </c>
      <c r="I378" s="31" t="str">
        <f t="shared" ca="1" si="12"/>
        <v>●</v>
      </c>
      <c r="J378" s="31">
        <f t="shared" si="13"/>
        <v>376</v>
      </c>
    </row>
    <row r="379" spans="2:10" hidden="1">
      <c r="B379" s="35">
        <v>5</v>
      </c>
      <c r="C379" s="31" t="s">
        <v>116</v>
      </c>
      <c r="D379" s="35" t="b">
        <v>1</v>
      </c>
      <c r="E379" s="34" t="s">
        <v>784</v>
      </c>
      <c r="F379" s="31" t="s">
        <v>785</v>
      </c>
      <c r="H379" s="40">
        <v>45722</v>
      </c>
      <c r="I379" s="31" t="str">
        <f t="shared" ca="1" si="12"/>
        <v>●</v>
      </c>
      <c r="J379" s="31">
        <f t="shared" si="13"/>
        <v>377</v>
      </c>
    </row>
    <row r="380" spans="2:10" hidden="1">
      <c r="B380" s="35">
        <v>5</v>
      </c>
      <c r="C380" s="31" t="s">
        <v>116</v>
      </c>
      <c r="D380" s="35" t="b">
        <v>1</v>
      </c>
      <c r="E380" s="34" t="s">
        <v>786</v>
      </c>
      <c r="F380" s="31" t="s">
        <v>787</v>
      </c>
      <c r="H380" s="40">
        <v>45722</v>
      </c>
      <c r="I380" s="31" t="str">
        <f t="shared" ca="1" si="12"/>
        <v>●</v>
      </c>
      <c r="J380" s="31">
        <f t="shared" si="13"/>
        <v>378</v>
      </c>
    </row>
    <row r="381" spans="2:10" hidden="1">
      <c r="B381" s="35">
        <v>5</v>
      </c>
      <c r="C381" s="31" t="s">
        <v>116</v>
      </c>
      <c r="D381" s="35" t="b">
        <v>1</v>
      </c>
      <c r="E381" s="34" t="s">
        <v>788</v>
      </c>
      <c r="F381" s="31" t="s">
        <v>789</v>
      </c>
      <c r="H381" s="40">
        <v>45722</v>
      </c>
      <c r="I381" s="31" t="str">
        <f t="shared" ca="1" si="12"/>
        <v>●</v>
      </c>
      <c r="J381" s="31">
        <f t="shared" si="13"/>
        <v>379</v>
      </c>
    </row>
    <row r="382" spans="2:10" hidden="1">
      <c r="B382" s="35">
        <v>5</v>
      </c>
      <c r="C382" s="31" t="s">
        <v>116</v>
      </c>
      <c r="D382" s="35" t="b">
        <v>1</v>
      </c>
      <c r="E382" s="34" t="s">
        <v>790</v>
      </c>
      <c r="F382" s="31" t="s">
        <v>791</v>
      </c>
      <c r="H382" s="40">
        <v>45722</v>
      </c>
      <c r="I382" s="31" t="str">
        <f t="shared" ca="1" si="12"/>
        <v>●</v>
      </c>
      <c r="J382" s="31">
        <f t="shared" si="13"/>
        <v>380</v>
      </c>
    </row>
    <row r="383" spans="2:10" hidden="1">
      <c r="B383" s="35">
        <v>5</v>
      </c>
      <c r="C383" s="31" t="s">
        <v>116</v>
      </c>
      <c r="D383" s="35" t="b">
        <v>1</v>
      </c>
      <c r="E383" s="34" t="s">
        <v>792</v>
      </c>
      <c r="F383" s="31" t="s">
        <v>793</v>
      </c>
      <c r="H383" s="40">
        <v>45722</v>
      </c>
      <c r="I383" s="31" t="str">
        <f t="shared" ca="1" si="12"/>
        <v>●</v>
      </c>
      <c r="J383" s="31">
        <f t="shared" si="13"/>
        <v>381</v>
      </c>
    </row>
    <row r="384" spans="2:10" hidden="1">
      <c r="B384" s="35">
        <v>5</v>
      </c>
      <c r="C384" s="31" t="s">
        <v>116</v>
      </c>
      <c r="D384" s="35" t="b">
        <v>1</v>
      </c>
      <c r="E384" s="34" t="s">
        <v>794</v>
      </c>
      <c r="F384" s="31" t="s">
        <v>795</v>
      </c>
      <c r="H384" s="40">
        <v>45722</v>
      </c>
      <c r="I384" s="31" t="str">
        <f t="shared" ca="1" si="12"/>
        <v>●</v>
      </c>
      <c r="J384" s="31">
        <f t="shared" si="13"/>
        <v>382</v>
      </c>
    </row>
    <row r="385" spans="2:10" hidden="1">
      <c r="B385" s="35">
        <v>5</v>
      </c>
      <c r="C385" s="31" t="s">
        <v>116</v>
      </c>
      <c r="D385" s="35" t="b">
        <v>1</v>
      </c>
      <c r="E385" s="34" t="s">
        <v>796</v>
      </c>
      <c r="F385" s="31" t="s">
        <v>797</v>
      </c>
      <c r="H385" s="40">
        <v>45722</v>
      </c>
      <c r="I385" s="31" t="str">
        <f t="shared" ca="1" si="12"/>
        <v>●</v>
      </c>
      <c r="J385" s="31">
        <f t="shared" si="13"/>
        <v>383</v>
      </c>
    </row>
    <row r="386" spans="2:10" hidden="1">
      <c r="B386" s="35">
        <v>5</v>
      </c>
      <c r="C386" s="31" t="s">
        <v>116</v>
      </c>
      <c r="D386" s="35" t="b">
        <v>1</v>
      </c>
      <c r="E386" s="34" t="s">
        <v>798</v>
      </c>
      <c r="F386" s="31" t="s">
        <v>799</v>
      </c>
      <c r="H386" s="40">
        <v>45722</v>
      </c>
      <c r="I386" s="31" t="str">
        <f t="shared" ca="1" si="12"/>
        <v>●</v>
      </c>
      <c r="J386" s="31">
        <f t="shared" si="13"/>
        <v>384</v>
      </c>
    </row>
    <row r="387" spans="2:10" hidden="1">
      <c r="B387" s="35">
        <v>5</v>
      </c>
      <c r="C387" s="31" t="s">
        <v>116</v>
      </c>
      <c r="D387" s="35" t="b">
        <v>1</v>
      </c>
      <c r="E387" s="34" t="s">
        <v>800</v>
      </c>
      <c r="F387" s="31" t="s">
        <v>801</v>
      </c>
      <c r="H387" s="40">
        <v>45722</v>
      </c>
      <c r="I387" s="31" t="str">
        <f t="shared" ca="1" si="12"/>
        <v>●</v>
      </c>
      <c r="J387" s="31">
        <f t="shared" si="13"/>
        <v>385</v>
      </c>
    </row>
    <row r="388" spans="2:10" hidden="1">
      <c r="B388" s="35">
        <v>5</v>
      </c>
      <c r="C388" s="31" t="s">
        <v>116</v>
      </c>
      <c r="D388" s="35" t="b">
        <v>1</v>
      </c>
      <c r="E388" s="34" t="s">
        <v>802</v>
      </c>
      <c r="F388" s="31" t="s">
        <v>803</v>
      </c>
      <c r="H388" s="40">
        <v>45722</v>
      </c>
      <c r="I388" s="31" t="str">
        <f t="shared" ca="1" si="12"/>
        <v>●</v>
      </c>
      <c r="J388" s="31">
        <f t="shared" si="13"/>
        <v>386</v>
      </c>
    </row>
    <row r="389" spans="2:10" hidden="1">
      <c r="B389" s="35">
        <v>5</v>
      </c>
      <c r="C389" s="31" t="s">
        <v>116</v>
      </c>
      <c r="D389" s="35" t="b">
        <v>1</v>
      </c>
      <c r="E389" s="34" t="s">
        <v>804</v>
      </c>
      <c r="F389" s="31" t="s">
        <v>805</v>
      </c>
      <c r="H389" s="40">
        <v>45722</v>
      </c>
      <c r="I389" s="31" t="str">
        <f t="shared" ca="1" si="12"/>
        <v>●</v>
      </c>
      <c r="J389" s="31">
        <f t="shared" si="13"/>
        <v>387</v>
      </c>
    </row>
    <row r="390" spans="2:10" hidden="1">
      <c r="B390" s="35">
        <v>5</v>
      </c>
      <c r="C390" s="31" t="s">
        <v>116</v>
      </c>
      <c r="D390" s="35" t="b">
        <v>1</v>
      </c>
      <c r="E390" s="34" t="s">
        <v>730</v>
      </c>
      <c r="F390" s="31" t="s">
        <v>806</v>
      </c>
      <c r="H390" s="40">
        <v>45722</v>
      </c>
      <c r="I390" s="31" t="str">
        <f t="shared" ca="1" si="12"/>
        <v>●</v>
      </c>
      <c r="J390" s="31">
        <f t="shared" si="13"/>
        <v>388</v>
      </c>
    </row>
    <row r="391" spans="2:10" hidden="1">
      <c r="B391" s="35">
        <v>5</v>
      </c>
      <c r="C391" s="31" t="s">
        <v>116</v>
      </c>
      <c r="D391" s="35" t="b">
        <v>0</v>
      </c>
      <c r="E391" s="34" t="s">
        <v>807</v>
      </c>
      <c r="F391" s="31" t="s">
        <v>808</v>
      </c>
      <c r="H391" s="40">
        <v>45722</v>
      </c>
      <c r="I391" s="31" t="str">
        <f t="shared" ca="1" si="12"/>
        <v>●</v>
      </c>
      <c r="J391" s="31">
        <f t="shared" si="13"/>
        <v>389</v>
      </c>
    </row>
    <row r="392" spans="2:10" hidden="1">
      <c r="B392" s="35">
        <v>5</v>
      </c>
      <c r="C392" s="31" t="s">
        <v>116</v>
      </c>
      <c r="D392" s="35" t="b">
        <v>0</v>
      </c>
      <c r="E392" s="34" t="s">
        <v>809</v>
      </c>
      <c r="F392" s="31" t="s">
        <v>810</v>
      </c>
      <c r="H392" s="40">
        <v>45722</v>
      </c>
      <c r="I392" s="31" t="str">
        <f t="shared" ca="1" si="12"/>
        <v>●</v>
      </c>
      <c r="J392" s="31">
        <f t="shared" si="13"/>
        <v>390</v>
      </c>
    </row>
    <row r="393" spans="2:10" hidden="1">
      <c r="B393" s="35">
        <v>5</v>
      </c>
      <c r="C393" s="31" t="s">
        <v>116</v>
      </c>
      <c r="D393" s="35" t="b">
        <v>1</v>
      </c>
      <c r="E393" s="34" t="s">
        <v>811</v>
      </c>
      <c r="F393" s="31" t="s">
        <v>812</v>
      </c>
      <c r="H393" s="40">
        <v>45722</v>
      </c>
      <c r="I393" s="31" t="str">
        <f t="shared" ca="1" si="12"/>
        <v>●</v>
      </c>
      <c r="J393" s="31">
        <f t="shared" si="13"/>
        <v>391</v>
      </c>
    </row>
    <row r="394" spans="2:10" hidden="1">
      <c r="B394" s="35">
        <v>5</v>
      </c>
      <c r="C394" s="31" t="s">
        <v>116</v>
      </c>
      <c r="D394" s="35" t="b">
        <v>1</v>
      </c>
      <c r="E394" s="34" t="s">
        <v>813</v>
      </c>
      <c r="F394" s="31" t="s">
        <v>814</v>
      </c>
      <c r="H394" s="40">
        <v>45722</v>
      </c>
      <c r="I394" s="31" t="str">
        <f t="shared" ca="1" si="12"/>
        <v>●</v>
      </c>
      <c r="J394" s="31">
        <f t="shared" si="13"/>
        <v>392</v>
      </c>
    </row>
    <row r="395" spans="2:10" hidden="1">
      <c r="B395" s="35">
        <v>5</v>
      </c>
      <c r="C395" s="31" t="s">
        <v>116</v>
      </c>
      <c r="D395" s="35" t="b">
        <v>1</v>
      </c>
      <c r="E395" s="34" t="s">
        <v>815</v>
      </c>
      <c r="F395" s="31" t="s">
        <v>816</v>
      </c>
      <c r="H395" s="40">
        <v>45722</v>
      </c>
      <c r="I395" s="31" t="str">
        <f t="shared" ca="1" si="12"/>
        <v>●</v>
      </c>
      <c r="J395" s="31">
        <f t="shared" si="13"/>
        <v>393</v>
      </c>
    </row>
    <row r="396" spans="2:10" hidden="1">
      <c r="B396" s="35">
        <v>5</v>
      </c>
      <c r="C396" s="31" t="s">
        <v>116</v>
      </c>
      <c r="D396" s="35" t="b">
        <v>1</v>
      </c>
      <c r="E396" s="34" t="s">
        <v>817</v>
      </c>
      <c r="F396" s="31" t="s">
        <v>818</v>
      </c>
      <c r="H396" s="40">
        <v>45722</v>
      </c>
      <c r="I396" s="31" t="str">
        <f t="shared" ca="1" si="12"/>
        <v>●</v>
      </c>
      <c r="J396" s="31">
        <f t="shared" si="13"/>
        <v>394</v>
      </c>
    </row>
    <row r="397" spans="2:10" hidden="1">
      <c r="B397" s="35">
        <v>5</v>
      </c>
      <c r="C397" s="31" t="s">
        <v>116</v>
      </c>
      <c r="D397" s="35" t="b">
        <v>0</v>
      </c>
      <c r="E397" s="34" t="s">
        <v>819</v>
      </c>
      <c r="F397" s="31" t="s">
        <v>820</v>
      </c>
      <c r="H397" s="40">
        <v>45722</v>
      </c>
      <c r="I397" s="31" t="str">
        <f t="shared" ca="1" si="12"/>
        <v>●</v>
      </c>
      <c r="J397" s="31">
        <f t="shared" si="13"/>
        <v>395</v>
      </c>
    </row>
    <row r="398" spans="2:10" hidden="1">
      <c r="B398" s="35">
        <v>5</v>
      </c>
      <c r="C398" s="31" t="s">
        <v>116</v>
      </c>
      <c r="D398" s="35" t="b">
        <v>1</v>
      </c>
      <c r="E398" s="34" t="s">
        <v>821</v>
      </c>
      <c r="F398" s="31" t="s">
        <v>822</v>
      </c>
      <c r="H398" s="40">
        <v>45722</v>
      </c>
      <c r="I398" s="31" t="str">
        <f t="shared" ca="1" si="12"/>
        <v>●</v>
      </c>
      <c r="J398" s="31">
        <f t="shared" si="13"/>
        <v>396</v>
      </c>
    </row>
    <row r="399" spans="2:10" hidden="1">
      <c r="B399" s="35">
        <v>5</v>
      </c>
      <c r="C399" s="31" t="s">
        <v>116</v>
      </c>
      <c r="D399" s="35" t="b">
        <v>1</v>
      </c>
      <c r="E399" s="34" t="s">
        <v>823</v>
      </c>
      <c r="F399" s="31" t="s">
        <v>824</v>
      </c>
      <c r="H399" s="40">
        <v>45722</v>
      </c>
      <c r="I399" s="31" t="str">
        <f t="shared" ca="1" si="12"/>
        <v>●</v>
      </c>
      <c r="J399" s="31">
        <f t="shared" si="13"/>
        <v>397</v>
      </c>
    </row>
    <row r="400" spans="2:10" hidden="1">
      <c r="B400" s="35">
        <v>5</v>
      </c>
      <c r="C400" s="31" t="s">
        <v>116</v>
      </c>
      <c r="D400" s="35" t="b">
        <v>1</v>
      </c>
      <c r="E400" s="34" t="s">
        <v>825</v>
      </c>
      <c r="F400" s="31" t="s">
        <v>826</v>
      </c>
      <c r="H400" s="40">
        <v>45722</v>
      </c>
      <c r="I400" s="31" t="str">
        <f t="shared" ca="1" si="12"/>
        <v>●</v>
      </c>
      <c r="J400" s="31">
        <f t="shared" si="13"/>
        <v>398</v>
      </c>
    </row>
    <row r="401" spans="2:10" hidden="1">
      <c r="B401" s="35">
        <v>5</v>
      </c>
      <c r="C401" s="31" t="s">
        <v>116</v>
      </c>
      <c r="D401" s="35" t="b">
        <v>0</v>
      </c>
      <c r="E401" s="34" t="s">
        <v>827</v>
      </c>
      <c r="F401" s="31" t="s">
        <v>828</v>
      </c>
      <c r="H401" s="40">
        <v>45722</v>
      </c>
      <c r="I401" s="31" t="str">
        <f t="shared" ca="1" si="12"/>
        <v>●</v>
      </c>
      <c r="J401" s="31">
        <f t="shared" si="13"/>
        <v>399</v>
      </c>
    </row>
    <row r="402" spans="2:10" hidden="1">
      <c r="B402" s="35">
        <v>5</v>
      </c>
      <c r="C402" s="31" t="s">
        <v>116</v>
      </c>
      <c r="D402" s="35" t="b">
        <v>1</v>
      </c>
      <c r="E402" s="34" t="s">
        <v>829</v>
      </c>
      <c r="F402" s="31" t="s">
        <v>830</v>
      </c>
      <c r="H402" s="40">
        <v>45722</v>
      </c>
      <c r="I402" s="31" t="str">
        <f t="shared" ref="I402:I465" ca="1" si="14">IF(H402-$G$1&lt;=0,"●","")</f>
        <v>●</v>
      </c>
      <c r="J402" s="31">
        <f t="shared" ref="J402:J465" si="15">ROW()-2</f>
        <v>400</v>
      </c>
    </row>
    <row r="403" spans="2:10" hidden="1">
      <c r="B403" s="35">
        <v>5</v>
      </c>
      <c r="C403" s="31" t="s">
        <v>116</v>
      </c>
      <c r="D403" s="35" t="b">
        <v>1</v>
      </c>
      <c r="E403" s="34" t="s">
        <v>831</v>
      </c>
      <c r="F403" s="31" t="s">
        <v>832</v>
      </c>
      <c r="H403" s="40">
        <v>45722</v>
      </c>
      <c r="I403" s="31" t="str">
        <f t="shared" ca="1" si="14"/>
        <v>●</v>
      </c>
      <c r="J403" s="31">
        <f t="shared" si="15"/>
        <v>401</v>
      </c>
    </row>
    <row r="404" spans="2:10" hidden="1">
      <c r="B404" s="35">
        <v>5</v>
      </c>
      <c r="C404" s="31" t="s">
        <v>116</v>
      </c>
      <c r="D404" s="35" t="b">
        <v>1</v>
      </c>
      <c r="E404" s="34" t="s">
        <v>833</v>
      </c>
      <c r="F404" s="31" t="s">
        <v>834</v>
      </c>
      <c r="H404" s="40">
        <v>45722</v>
      </c>
      <c r="I404" s="31" t="str">
        <f t="shared" ca="1" si="14"/>
        <v>●</v>
      </c>
      <c r="J404" s="31">
        <f t="shared" si="15"/>
        <v>402</v>
      </c>
    </row>
    <row r="405" spans="2:10" hidden="1">
      <c r="B405" s="35">
        <v>5</v>
      </c>
      <c r="C405" s="31" t="s">
        <v>116</v>
      </c>
      <c r="D405" s="35" t="b">
        <v>0</v>
      </c>
      <c r="E405" s="34" t="s">
        <v>835</v>
      </c>
      <c r="F405" s="31" t="s">
        <v>836</v>
      </c>
      <c r="H405" s="40">
        <v>45722</v>
      </c>
      <c r="I405" s="31" t="str">
        <f t="shared" ca="1" si="14"/>
        <v>●</v>
      </c>
      <c r="J405" s="31">
        <f t="shared" si="15"/>
        <v>403</v>
      </c>
    </row>
    <row r="406" spans="2:10" hidden="1">
      <c r="B406" s="35">
        <v>5</v>
      </c>
      <c r="C406" s="31" t="s">
        <v>116</v>
      </c>
      <c r="D406" s="35" t="b">
        <v>1</v>
      </c>
      <c r="E406" s="34" t="s">
        <v>837</v>
      </c>
      <c r="F406" s="31" t="s">
        <v>838</v>
      </c>
      <c r="H406" s="40">
        <v>45722</v>
      </c>
      <c r="I406" s="31" t="str">
        <f t="shared" ca="1" si="14"/>
        <v>●</v>
      </c>
      <c r="J406" s="31">
        <f t="shared" si="15"/>
        <v>404</v>
      </c>
    </row>
    <row r="407" spans="2:10" hidden="1">
      <c r="B407" s="35">
        <v>5</v>
      </c>
      <c r="C407" s="31" t="s">
        <v>116</v>
      </c>
      <c r="D407" s="35" t="b">
        <v>1</v>
      </c>
      <c r="E407" s="34" t="s">
        <v>839</v>
      </c>
      <c r="F407" s="31" t="s">
        <v>840</v>
      </c>
      <c r="H407" s="40">
        <v>45722</v>
      </c>
      <c r="I407" s="31" t="str">
        <f t="shared" ca="1" si="14"/>
        <v>●</v>
      </c>
      <c r="J407" s="31">
        <f t="shared" si="15"/>
        <v>405</v>
      </c>
    </row>
    <row r="408" spans="2:10" hidden="1">
      <c r="B408" s="35">
        <v>5</v>
      </c>
      <c r="C408" s="31" t="s">
        <v>116</v>
      </c>
      <c r="D408" s="35" t="b">
        <v>1</v>
      </c>
      <c r="E408" s="34" t="s">
        <v>841</v>
      </c>
      <c r="F408" s="31" t="s">
        <v>842</v>
      </c>
      <c r="H408" s="40">
        <v>45722</v>
      </c>
      <c r="I408" s="31" t="str">
        <f t="shared" ca="1" si="14"/>
        <v>●</v>
      </c>
      <c r="J408" s="31">
        <f t="shared" si="15"/>
        <v>406</v>
      </c>
    </row>
    <row r="409" spans="2:10" hidden="1">
      <c r="B409" s="35">
        <v>5</v>
      </c>
      <c r="C409" s="31" t="s">
        <v>116</v>
      </c>
      <c r="D409" s="35" t="b">
        <v>0</v>
      </c>
      <c r="E409" s="34" t="s">
        <v>843</v>
      </c>
      <c r="F409" s="31" t="s">
        <v>844</v>
      </c>
      <c r="H409" s="40">
        <v>45722</v>
      </c>
      <c r="I409" s="31" t="str">
        <f t="shared" ca="1" si="14"/>
        <v>●</v>
      </c>
      <c r="J409" s="31">
        <f t="shared" si="15"/>
        <v>407</v>
      </c>
    </row>
    <row r="410" spans="2:10" hidden="1">
      <c r="B410" s="35">
        <v>5</v>
      </c>
      <c r="C410" s="31" t="s">
        <v>116</v>
      </c>
      <c r="D410" s="35" t="b">
        <v>1</v>
      </c>
      <c r="E410" s="34" t="s">
        <v>845</v>
      </c>
      <c r="F410" s="31" t="s">
        <v>846</v>
      </c>
      <c r="H410" s="40">
        <v>45722</v>
      </c>
      <c r="I410" s="31" t="str">
        <f t="shared" ca="1" si="14"/>
        <v>●</v>
      </c>
      <c r="J410" s="31">
        <f t="shared" si="15"/>
        <v>408</v>
      </c>
    </row>
    <row r="411" spans="2:10" hidden="1">
      <c r="B411" s="35">
        <v>5</v>
      </c>
      <c r="C411" s="31" t="s">
        <v>116</v>
      </c>
      <c r="D411" s="35" t="b">
        <v>1</v>
      </c>
      <c r="E411" s="34" t="s">
        <v>847</v>
      </c>
      <c r="F411" s="31" t="s">
        <v>848</v>
      </c>
      <c r="H411" s="40">
        <v>45722</v>
      </c>
      <c r="I411" s="31" t="str">
        <f t="shared" ca="1" si="14"/>
        <v>●</v>
      </c>
      <c r="J411" s="31">
        <f t="shared" si="15"/>
        <v>409</v>
      </c>
    </row>
    <row r="412" spans="2:10" hidden="1">
      <c r="B412" s="35">
        <v>5</v>
      </c>
      <c r="C412" s="31" t="s">
        <v>116</v>
      </c>
      <c r="D412" s="35" t="b">
        <v>1</v>
      </c>
      <c r="E412" s="34" t="s">
        <v>849</v>
      </c>
      <c r="F412" s="31" t="s">
        <v>850</v>
      </c>
      <c r="H412" s="40">
        <v>45722</v>
      </c>
      <c r="I412" s="31" t="str">
        <f t="shared" ca="1" si="14"/>
        <v>●</v>
      </c>
      <c r="J412" s="31">
        <f t="shared" si="15"/>
        <v>410</v>
      </c>
    </row>
    <row r="413" spans="2:10" hidden="1">
      <c r="B413" s="35">
        <v>5</v>
      </c>
      <c r="C413" s="31" t="s">
        <v>116</v>
      </c>
      <c r="D413" s="35" t="b">
        <v>1</v>
      </c>
      <c r="E413" s="34" t="s">
        <v>851</v>
      </c>
      <c r="F413" s="31" t="s">
        <v>852</v>
      </c>
      <c r="H413" s="40">
        <v>45722</v>
      </c>
      <c r="I413" s="31" t="str">
        <f t="shared" ca="1" si="14"/>
        <v>●</v>
      </c>
      <c r="J413" s="31">
        <f t="shared" si="15"/>
        <v>411</v>
      </c>
    </row>
    <row r="414" spans="2:10" hidden="1">
      <c r="B414" s="35">
        <v>5</v>
      </c>
      <c r="C414" s="31" t="s">
        <v>116</v>
      </c>
      <c r="D414" s="35" t="b">
        <v>0</v>
      </c>
      <c r="E414" s="34" t="s">
        <v>853</v>
      </c>
      <c r="F414" s="31" t="s">
        <v>854</v>
      </c>
      <c r="H414" s="40">
        <v>45722</v>
      </c>
      <c r="I414" s="31" t="str">
        <f t="shared" ca="1" si="14"/>
        <v>●</v>
      </c>
      <c r="J414" s="31">
        <f t="shared" si="15"/>
        <v>412</v>
      </c>
    </row>
    <row r="415" spans="2:10" hidden="1">
      <c r="B415" s="35">
        <v>5</v>
      </c>
      <c r="C415" s="31" t="s">
        <v>116</v>
      </c>
      <c r="D415" s="35" t="b">
        <v>0</v>
      </c>
      <c r="E415" s="34" t="s">
        <v>855</v>
      </c>
      <c r="F415" s="31" t="s">
        <v>856</v>
      </c>
      <c r="H415" s="40">
        <v>45722</v>
      </c>
      <c r="I415" s="31" t="str">
        <f t="shared" ca="1" si="14"/>
        <v>●</v>
      </c>
      <c r="J415" s="31">
        <f t="shared" si="15"/>
        <v>413</v>
      </c>
    </row>
    <row r="416" spans="2:10" hidden="1">
      <c r="B416" s="35">
        <v>5</v>
      </c>
      <c r="C416" s="31" t="s">
        <v>116</v>
      </c>
      <c r="D416" s="35" t="b">
        <v>1</v>
      </c>
      <c r="E416" s="34" t="s">
        <v>857</v>
      </c>
      <c r="F416" s="31" t="s">
        <v>858</v>
      </c>
      <c r="H416" s="40">
        <v>45722</v>
      </c>
      <c r="I416" s="31" t="str">
        <f t="shared" ca="1" si="14"/>
        <v>●</v>
      </c>
      <c r="J416" s="31">
        <f t="shared" si="15"/>
        <v>414</v>
      </c>
    </row>
    <row r="417" spans="2:10" hidden="1">
      <c r="B417" s="35">
        <v>5</v>
      </c>
      <c r="C417" s="31" t="s">
        <v>116</v>
      </c>
      <c r="D417" s="35" t="b">
        <v>0</v>
      </c>
      <c r="E417" s="34" t="s">
        <v>859</v>
      </c>
      <c r="F417" s="31" t="s">
        <v>860</v>
      </c>
      <c r="H417" s="40">
        <v>45722</v>
      </c>
      <c r="I417" s="31" t="str">
        <f t="shared" ca="1" si="14"/>
        <v>●</v>
      </c>
      <c r="J417" s="31">
        <f t="shared" si="15"/>
        <v>415</v>
      </c>
    </row>
    <row r="418" spans="2:10" hidden="1">
      <c r="B418" s="35">
        <v>5</v>
      </c>
      <c r="C418" s="31" t="s">
        <v>116</v>
      </c>
      <c r="D418" s="35" t="b">
        <v>1</v>
      </c>
      <c r="E418" s="34" t="s">
        <v>861</v>
      </c>
      <c r="F418" s="31" t="s">
        <v>862</v>
      </c>
      <c r="H418" s="40">
        <v>45722</v>
      </c>
      <c r="I418" s="31" t="str">
        <f t="shared" ca="1" si="14"/>
        <v>●</v>
      </c>
      <c r="J418" s="31">
        <f t="shared" si="15"/>
        <v>416</v>
      </c>
    </row>
    <row r="419" spans="2:10" hidden="1">
      <c r="B419" s="35">
        <v>5</v>
      </c>
      <c r="C419" s="31" t="s">
        <v>116</v>
      </c>
      <c r="D419" s="35" t="b">
        <v>0</v>
      </c>
      <c r="E419" s="34" t="s">
        <v>863</v>
      </c>
      <c r="F419" s="31" t="s">
        <v>864</v>
      </c>
      <c r="H419" s="40">
        <v>45722</v>
      </c>
      <c r="I419" s="31" t="str">
        <f t="shared" ca="1" si="14"/>
        <v>●</v>
      </c>
      <c r="J419" s="31">
        <f t="shared" si="15"/>
        <v>417</v>
      </c>
    </row>
    <row r="420" spans="2:10" hidden="1">
      <c r="B420" s="35">
        <v>5</v>
      </c>
      <c r="C420" s="31" t="s">
        <v>116</v>
      </c>
      <c r="D420" s="35" t="b">
        <v>1</v>
      </c>
      <c r="E420" s="34" t="s">
        <v>865</v>
      </c>
      <c r="F420" s="31" t="s">
        <v>866</v>
      </c>
      <c r="H420" s="40">
        <v>45722</v>
      </c>
      <c r="I420" s="31" t="str">
        <f t="shared" ca="1" si="14"/>
        <v>●</v>
      </c>
      <c r="J420" s="31">
        <f t="shared" si="15"/>
        <v>418</v>
      </c>
    </row>
    <row r="421" spans="2:10" hidden="1">
      <c r="B421" s="35">
        <v>5</v>
      </c>
      <c r="C421" s="31" t="s">
        <v>116</v>
      </c>
      <c r="D421" s="35" t="b">
        <v>1</v>
      </c>
      <c r="E421" s="34" t="s">
        <v>867</v>
      </c>
      <c r="F421" s="31" t="s">
        <v>868</v>
      </c>
      <c r="H421" s="40">
        <v>45722</v>
      </c>
      <c r="I421" s="31" t="str">
        <f t="shared" ca="1" si="14"/>
        <v>●</v>
      </c>
      <c r="J421" s="31">
        <f t="shared" si="15"/>
        <v>419</v>
      </c>
    </row>
    <row r="422" spans="2:10" hidden="1">
      <c r="B422" s="35">
        <v>5</v>
      </c>
      <c r="C422" s="31" t="s">
        <v>116</v>
      </c>
      <c r="D422" s="35" t="b">
        <v>1</v>
      </c>
      <c r="E422" s="34" t="s">
        <v>869</v>
      </c>
      <c r="F422" s="31" t="s">
        <v>870</v>
      </c>
      <c r="H422" s="40">
        <v>45722</v>
      </c>
      <c r="I422" s="31" t="str">
        <f t="shared" ca="1" si="14"/>
        <v>●</v>
      </c>
      <c r="J422" s="31">
        <f t="shared" si="15"/>
        <v>420</v>
      </c>
    </row>
    <row r="423" spans="2:10" hidden="1">
      <c r="B423" s="35">
        <v>5</v>
      </c>
      <c r="C423" s="31" t="s">
        <v>116</v>
      </c>
      <c r="D423" s="35" t="b">
        <v>1</v>
      </c>
      <c r="E423" s="34" t="s">
        <v>871</v>
      </c>
      <c r="F423" s="31" t="s">
        <v>872</v>
      </c>
      <c r="H423" s="40">
        <v>45722</v>
      </c>
      <c r="I423" s="31" t="str">
        <f t="shared" ca="1" si="14"/>
        <v>●</v>
      </c>
      <c r="J423" s="31">
        <f t="shared" si="15"/>
        <v>421</v>
      </c>
    </row>
    <row r="424" spans="2:10" hidden="1">
      <c r="B424" s="35">
        <v>5</v>
      </c>
      <c r="C424" s="31" t="s">
        <v>116</v>
      </c>
      <c r="D424" s="35" t="b">
        <v>1</v>
      </c>
      <c r="E424" s="34" t="s">
        <v>873</v>
      </c>
      <c r="F424" s="31" t="s">
        <v>874</v>
      </c>
      <c r="H424" s="40">
        <v>45722</v>
      </c>
      <c r="I424" s="31" t="str">
        <f t="shared" ca="1" si="14"/>
        <v>●</v>
      </c>
      <c r="J424" s="31">
        <f t="shared" si="15"/>
        <v>422</v>
      </c>
    </row>
    <row r="425" spans="2:10" hidden="1">
      <c r="B425" s="35">
        <v>5</v>
      </c>
      <c r="C425" s="31" t="s">
        <v>116</v>
      </c>
      <c r="D425" s="35" t="b">
        <v>1</v>
      </c>
      <c r="E425" s="34" t="s">
        <v>875</v>
      </c>
      <c r="F425" s="31" t="s">
        <v>876</v>
      </c>
      <c r="H425" s="40">
        <v>45722</v>
      </c>
      <c r="I425" s="31" t="str">
        <f t="shared" ca="1" si="14"/>
        <v>●</v>
      </c>
      <c r="J425" s="31">
        <f t="shared" si="15"/>
        <v>423</v>
      </c>
    </row>
    <row r="426" spans="2:10" hidden="1">
      <c r="B426" s="35">
        <v>5</v>
      </c>
      <c r="C426" s="31" t="s">
        <v>116</v>
      </c>
      <c r="D426" s="35" t="b">
        <v>1</v>
      </c>
      <c r="E426" s="34" t="s">
        <v>877</v>
      </c>
      <c r="F426" s="31" t="s">
        <v>878</v>
      </c>
      <c r="H426" s="40">
        <v>45722</v>
      </c>
      <c r="I426" s="31" t="str">
        <f t="shared" ca="1" si="14"/>
        <v>●</v>
      </c>
      <c r="J426" s="31">
        <f t="shared" si="15"/>
        <v>424</v>
      </c>
    </row>
    <row r="427" spans="2:10" hidden="1">
      <c r="B427" s="35">
        <v>5</v>
      </c>
      <c r="C427" s="31" t="s">
        <v>116</v>
      </c>
      <c r="D427" s="35" t="b">
        <v>0</v>
      </c>
      <c r="E427" s="34" t="s">
        <v>879</v>
      </c>
      <c r="F427" s="31" t="s">
        <v>880</v>
      </c>
      <c r="H427" s="40">
        <v>45722</v>
      </c>
      <c r="I427" s="31" t="str">
        <f t="shared" ca="1" si="14"/>
        <v>●</v>
      </c>
      <c r="J427" s="31">
        <f t="shared" si="15"/>
        <v>425</v>
      </c>
    </row>
    <row r="428" spans="2:10" hidden="1">
      <c r="B428" s="35">
        <v>5</v>
      </c>
      <c r="C428" s="31" t="s">
        <v>116</v>
      </c>
      <c r="D428" s="35" t="b">
        <v>1</v>
      </c>
      <c r="E428" s="34" t="s">
        <v>881</v>
      </c>
      <c r="F428" s="31" t="s">
        <v>882</v>
      </c>
      <c r="H428" s="40">
        <v>45722</v>
      </c>
      <c r="I428" s="31" t="str">
        <f t="shared" ca="1" si="14"/>
        <v>●</v>
      </c>
      <c r="J428" s="31">
        <f t="shared" si="15"/>
        <v>426</v>
      </c>
    </row>
    <row r="429" spans="2:10" hidden="1">
      <c r="B429" s="35">
        <v>5</v>
      </c>
      <c r="C429" s="31" t="s">
        <v>116</v>
      </c>
      <c r="D429" s="35" t="b">
        <v>1</v>
      </c>
      <c r="E429" s="34" t="s">
        <v>883</v>
      </c>
      <c r="F429" s="31" t="s">
        <v>884</v>
      </c>
      <c r="H429" s="40">
        <v>45722</v>
      </c>
      <c r="I429" s="31" t="str">
        <f t="shared" ca="1" si="14"/>
        <v>●</v>
      </c>
      <c r="J429" s="31">
        <f t="shared" si="15"/>
        <v>427</v>
      </c>
    </row>
    <row r="430" spans="2:10" hidden="1">
      <c r="B430" s="35">
        <v>5</v>
      </c>
      <c r="C430" s="31" t="s">
        <v>116</v>
      </c>
      <c r="D430" s="35" t="b">
        <v>1</v>
      </c>
      <c r="E430" s="34" t="s">
        <v>885</v>
      </c>
      <c r="F430" s="31" t="s">
        <v>886</v>
      </c>
      <c r="H430" s="40">
        <v>45722</v>
      </c>
      <c r="I430" s="31" t="str">
        <f t="shared" ca="1" si="14"/>
        <v>●</v>
      </c>
      <c r="J430" s="31">
        <f t="shared" si="15"/>
        <v>428</v>
      </c>
    </row>
    <row r="431" spans="2:10" hidden="1">
      <c r="B431" s="35">
        <v>5</v>
      </c>
      <c r="C431" s="31" t="s">
        <v>116</v>
      </c>
      <c r="D431" s="35" t="b">
        <v>1</v>
      </c>
      <c r="E431" s="34" t="s">
        <v>887</v>
      </c>
      <c r="F431" s="31" t="s">
        <v>888</v>
      </c>
      <c r="H431" s="40">
        <v>45722</v>
      </c>
      <c r="I431" s="31" t="str">
        <f t="shared" ca="1" si="14"/>
        <v>●</v>
      </c>
      <c r="J431" s="31">
        <f t="shared" si="15"/>
        <v>429</v>
      </c>
    </row>
    <row r="432" spans="2:10" hidden="1">
      <c r="B432" s="35">
        <v>5</v>
      </c>
      <c r="C432" s="31" t="s">
        <v>116</v>
      </c>
      <c r="D432" s="35" t="b">
        <v>1</v>
      </c>
      <c r="E432" s="34" t="s">
        <v>889</v>
      </c>
      <c r="F432" s="31" t="s">
        <v>890</v>
      </c>
      <c r="H432" s="40">
        <v>45722</v>
      </c>
      <c r="I432" s="31" t="str">
        <f t="shared" ca="1" si="14"/>
        <v>●</v>
      </c>
      <c r="J432" s="31">
        <f t="shared" si="15"/>
        <v>430</v>
      </c>
    </row>
    <row r="433" spans="2:10" hidden="1">
      <c r="B433" s="35">
        <v>5</v>
      </c>
      <c r="C433" s="31" t="s">
        <v>116</v>
      </c>
      <c r="D433" s="35" t="b">
        <v>1</v>
      </c>
      <c r="E433" s="34" t="s">
        <v>891</v>
      </c>
      <c r="F433" s="31" t="s">
        <v>892</v>
      </c>
      <c r="H433" s="40">
        <v>45722</v>
      </c>
      <c r="I433" s="31" t="str">
        <f t="shared" ca="1" si="14"/>
        <v>●</v>
      </c>
      <c r="J433" s="31">
        <f t="shared" si="15"/>
        <v>431</v>
      </c>
    </row>
    <row r="434" spans="2:10" hidden="1">
      <c r="B434" s="35">
        <v>5</v>
      </c>
      <c r="C434" s="31" t="s">
        <v>116</v>
      </c>
      <c r="D434" s="35" t="b">
        <v>1</v>
      </c>
      <c r="E434" s="34" t="s">
        <v>893</v>
      </c>
      <c r="F434" s="31" t="s">
        <v>894</v>
      </c>
      <c r="H434" s="40">
        <v>45722</v>
      </c>
      <c r="I434" s="31" t="str">
        <f t="shared" ca="1" si="14"/>
        <v>●</v>
      </c>
      <c r="J434" s="31">
        <f t="shared" si="15"/>
        <v>432</v>
      </c>
    </row>
    <row r="435" spans="2:10" hidden="1">
      <c r="B435" s="35">
        <v>5</v>
      </c>
      <c r="C435" s="31" t="s">
        <v>116</v>
      </c>
      <c r="D435" s="35" t="b">
        <v>1</v>
      </c>
      <c r="E435" s="34" t="s">
        <v>895</v>
      </c>
      <c r="F435" s="31" t="s">
        <v>896</v>
      </c>
      <c r="H435" s="40">
        <v>45722</v>
      </c>
      <c r="I435" s="31" t="str">
        <f t="shared" ca="1" si="14"/>
        <v>●</v>
      </c>
      <c r="J435" s="31">
        <f t="shared" si="15"/>
        <v>433</v>
      </c>
    </row>
    <row r="436" spans="2:10" hidden="1">
      <c r="B436" s="35">
        <v>5</v>
      </c>
      <c r="C436" s="31" t="s">
        <v>116</v>
      </c>
      <c r="D436" s="35" t="b">
        <v>1</v>
      </c>
      <c r="E436" s="34" t="s">
        <v>897</v>
      </c>
      <c r="F436" s="31" t="s">
        <v>898</v>
      </c>
      <c r="H436" s="40">
        <v>45722</v>
      </c>
      <c r="I436" s="31" t="str">
        <f t="shared" ca="1" si="14"/>
        <v>●</v>
      </c>
      <c r="J436" s="31">
        <f t="shared" si="15"/>
        <v>434</v>
      </c>
    </row>
    <row r="437" spans="2:10" hidden="1">
      <c r="B437" s="35">
        <v>5</v>
      </c>
      <c r="C437" s="31" t="s">
        <v>116</v>
      </c>
      <c r="D437" s="35" t="b">
        <v>1</v>
      </c>
      <c r="E437" s="34" t="s">
        <v>899</v>
      </c>
      <c r="F437" s="31" t="s">
        <v>900</v>
      </c>
      <c r="H437" s="40">
        <v>45722</v>
      </c>
      <c r="I437" s="31" t="str">
        <f t="shared" ca="1" si="14"/>
        <v>●</v>
      </c>
      <c r="J437" s="31">
        <f t="shared" si="15"/>
        <v>435</v>
      </c>
    </row>
    <row r="438" spans="2:10" hidden="1">
      <c r="B438" s="35">
        <v>5</v>
      </c>
      <c r="C438" s="31" t="s">
        <v>116</v>
      </c>
      <c r="D438" s="35" t="b">
        <v>1</v>
      </c>
      <c r="E438" s="34" t="s">
        <v>901</v>
      </c>
      <c r="F438" s="31" t="s">
        <v>902</v>
      </c>
      <c r="H438" s="40">
        <v>45722</v>
      </c>
      <c r="I438" s="31" t="str">
        <f t="shared" ca="1" si="14"/>
        <v>●</v>
      </c>
      <c r="J438" s="31">
        <f t="shared" si="15"/>
        <v>436</v>
      </c>
    </row>
    <row r="439" spans="2:10" hidden="1">
      <c r="B439" s="35">
        <v>5</v>
      </c>
      <c r="C439" s="31" t="s">
        <v>116</v>
      </c>
      <c r="D439" s="35" t="b">
        <v>1</v>
      </c>
      <c r="E439" s="34" t="s">
        <v>903</v>
      </c>
      <c r="F439" s="31" t="s">
        <v>904</v>
      </c>
      <c r="H439" s="40">
        <v>45722</v>
      </c>
      <c r="I439" s="31" t="str">
        <f t="shared" ca="1" si="14"/>
        <v>●</v>
      </c>
      <c r="J439" s="31">
        <f t="shared" si="15"/>
        <v>437</v>
      </c>
    </row>
    <row r="440" spans="2:10" hidden="1">
      <c r="B440" s="35">
        <v>5</v>
      </c>
      <c r="C440" s="31" t="s">
        <v>116</v>
      </c>
      <c r="D440" s="35" t="b">
        <v>0</v>
      </c>
      <c r="E440" s="34" t="s">
        <v>905</v>
      </c>
      <c r="F440" s="31" t="s">
        <v>906</v>
      </c>
      <c r="H440" s="40">
        <v>45722</v>
      </c>
      <c r="I440" s="31" t="str">
        <f t="shared" ca="1" si="14"/>
        <v>●</v>
      </c>
      <c r="J440" s="31">
        <f t="shared" si="15"/>
        <v>438</v>
      </c>
    </row>
    <row r="441" spans="2:10" hidden="1">
      <c r="B441" s="35">
        <v>5</v>
      </c>
      <c r="C441" s="31" t="s">
        <v>116</v>
      </c>
      <c r="D441" s="35" t="b">
        <v>1</v>
      </c>
      <c r="E441" s="34" t="s">
        <v>907</v>
      </c>
      <c r="F441" s="31" t="s">
        <v>908</v>
      </c>
      <c r="H441" s="40">
        <v>45722</v>
      </c>
      <c r="I441" s="31" t="str">
        <f t="shared" ca="1" si="14"/>
        <v>●</v>
      </c>
      <c r="J441" s="31">
        <f t="shared" si="15"/>
        <v>439</v>
      </c>
    </row>
    <row r="442" spans="2:10" hidden="1">
      <c r="B442" s="35">
        <v>5</v>
      </c>
      <c r="C442" s="31" t="s">
        <v>116</v>
      </c>
      <c r="D442" s="35" t="b">
        <v>1</v>
      </c>
      <c r="E442" s="34" t="s">
        <v>909</v>
      </c>
      <c r="F442" s="31" t="s">
        <v>910</v>
      </c>
      <c r="H442" s="40">
        <v>45722</v>
      </c>
      <c r="I442" s="31" t="str">
        <f t="shared" ca="1" si="14"/>
        <v>●</v>
      </c>
      <c r="J442" s="31">
        <f t="shared" si="15"/>
        <v>440</v>
      </c>
    </row>
    <row r="443" spans="2:10" hidden="1">
      <c r="B443" s="35">
        <v>5</v>
      </c>
      <c r="C443" s="31" t="s">
        <v>116</v>
      </c>
      <c r="D443" s="35" t="b">
        <v>1</v>
      </c>
      <c r="E443" s="34" t="s">
        <v>911</v>
      </c>
      <c r="F443" s="31" t="s">
        <v>912</v>
      </c>
      <c r="H443" s="40">
        <v>45722</v>
      </c>
      <c r="I443" s="31" t="str">
        <f t="shared" ca="1" si="14"/>
        <v>●</v>
      </c>
      <c r="J443" s="31">
        <f t="shared" si="15"/>
        <v>441</v>
      </c>
    </row>
    <row r="444" spans="2:10" hidden="1">
      <c r="B444" s="35">
        <v>5</v>
      </c>
      <c r="C444" s="31" t="s">
        <v>116</v>
      </c>
      <c r="D444" s="35" t="b">
        <v>1</v>
      </c>
      <c r="E444" s="34" t="s">
        <v>913</v>
      </c>
      <c r="F444" s="31" t="s">
        <v>914</v>
      </c>
      <c r="H444" s="40">
        <v>45722</v>
      </c>
      <c r="I444" s="31" t="str">
        <f t="shared" ca="1" si="14"/>
        <v>●</v>
      </c>
      <c r="J444" s="31">
        <f t="shared" si="15"/>
        <v>442</v>
      </c>
    </row>
    <row r="445" spans="2:10" hidden="1">
      <c r="B445" s="35">
        <v>5</v>
      </c>
      <c r="C445" s="31" t="s">
        <v>116</v>
      </c>
      <c r="D445" s="35" t="b">
        <v>1</v>
      </c>
      <c r="E445" s="34" t="s">
        <v>915</v>
      </c>
      <c r="F445" s="31" t="s">
        <v>916</v>
      </c>
      <c r="H445" s="40">
        <v>45722</v>
      </c>
      <c r="I445" s="31" t="str">
        <f t="shared" ca="1" si="14"/>
        <v>●</v>
      </c>
      <c r="J445" s="31">
        <f t="shared" si="15"/>
        <v>443</v>
      </c>
    </row>
    <row r="446" spans="2:10" hidden="1">
      <c r="B446" s="35">
        <v>5</v>
      </c>
      <c r="C446" s="31" t="s">
        <v>116</v>
      </c>
      <c r="D446" s="35" t="b">
        <v>1</v>
      </c>
      <c r="E446" s="34" t="s">
        <v>917</v>
      </c>
      <c r="F446" s="31" t="s">
        <v>918</v>
      </c>
      <c r="H446" s="40">
        <v>45722</v>
      </c>
      <c r="I446" s="31" t="str">
        <f t="shared" ca="1" si="14"/>
        <v>●</v>
      </c>
      <c r="J446" s="31">
        <f t="shared" si="15"/>
        <v>444</v>
      </c>
    </row>
    <row r="447" spans="2:10" hidden="1">
      <c r="B447" s="35">
        <v>5</v>
      </c>
      <c r="C447" s="31" t="s">
        <v>116</v>
      </c>
      <c r="D447" s="35" t="b">
        <v>1</v>
      </c>
      <c r="E447" s="34" t="s">
        <v>919</v>
      </c>
      <c r="F447" s="31" t="s">
        <v>920</v>
      </c>
      <c r="H447" s="40">
        <v>45722</v>
      </c>
      <c r="I447" s="31" t="str">
        <f t="shared" ca="1" si="14"/>
        <v>●</v>
      </c>
      <c r="J447" s="31">
        <f t="shared" si="15"/>
        <v>445</v>
      </c>
    </row>
    <row r="448" spans="2:10" hidden="1">
      <c r="B448" s="35">
        <v>5</v>
      </c>
      <c r="C448" s="31" t="s">
        <v>116</v>
      </c>
      <c r="D448" s="35" t="b">
        <v>1</v>
      </c>
      <c r="E448" s="34" t="s">
        <v>921</v>
      </c>
      <c r="F448" s="31" t="s">
        <v>922</v>
      </c>
      <c r="H448" s="40">
        <v>45722</v>
      </c>
      <c r="I448" s="31" t="str">
        <f t="shared" ca="1" si="14"/>
        <v>●</v>
      </c>
      <c r="J448" s="31">
        <f t="shared" si="15"/>
        <v>446</v>
      </c>
    </row>
    <row r="449" spans="2:10" hidden="1">
      <c r="B449" s="35">
        <v>5</v>
      </c>
      <c r="C449" s="31" t="s">
        <v>116</v>
      </c>
      <c r="D449" s="35" t="b">
        <v>1</v>
      </c>
      <c r="E449" s="34" t="s">
        <v>923</v>
      </c>
      <c r="F449" s="31" t="s">
        <v>924</v>
      </c>
      <c r="H449" s="40">
        <v>45722</v>
      </c>
      <c r="I449" s="31" t="str">
        <f t="shared" ca="1" si="14"/>
        <v>●</v>
      </c>
      <c r="J449" s="31">
        <f t="shared" si="15"/>
        <v>447</v>
      </c>
    </row>
    <row r="450" spans="2:10" hidden="1">
      <c r="B450" s="35">
        <v>5</v>
      </c>
      <c r="C450" s="31" t="s">
        <v>116</v>
      </c>
      <c r="D450" s="35" t="b">
        <v>0</v>
      </c>
      <c r="E450" s="34" t="s">
        <v>925</v>
      </c>
      <c r="F450" s="31" t="s">
        <v>926</v>
      </c>
      <c r="H450" s="40">
        <v>45722</v>
      </c>
      <c r="I450" s="31" t="str">
        <f t="shared" ca="1" si="14"/>
        <v>●</v>
      </c>
      <c r="J450" s="31">
        <f t="shared" si="15"/>
        <v>448</v>
      </c>
    </row>
    <row r="451" spans="2:10" hidden="1">
      <c r="B451" s="35">
        <v>5</v>
      </c>
      <c r="C451" s="31" t="s">
        <v>116</v>
      </c>
      <c r="D451" s="35" t="b">
        <v>1</v>
      </c>
      <c r="E451" s="34" t="s">
        <v>927</v>
      </c>
      <c r="F451" s="31" t="s">
        <v>928</v>
      </c>
      <c r="H451" s="40">
        <v>45722</v>
      </c>
      <c r="I451" s="31" t="str">
        <f t="shared" ca="1" si="14"/>
        <v>●</v>
      </c>
      <c r="J451" s="31">
        <f t="shared" si="15"/>
        <v>449</v>
      </c>
    </row>
    <row r="452" spans="2:10" hidden="1">
      <c r="B452" s="35">
        <v>5</v>
      </c>
      <c r="C452" s="31" t="s">
        <v>116</v>
      </c>
      <c r="D452" s="35" t="b">
        <v>1</v>
      </c>
      <c r="E452" s="34" t="s">
        <v>929</v>
      </c>
      <c r="F452" s="31" t="s">
        <v>930</v>
      </c>
      <c r="H452" s="40">
        <v>45722</v>
      </c>
      <c r="I452" s="31" t="str">
        <f t="shared" ca="1" si="14"/>
        <v>●</v>
      </c>
      <c r="J452" s="31">
        <f t="shared" si="15"/>
        <v>450</v>
      </c>
    </row>
    <row r="453" spans="2:10" hidden="1">
      <c r="B453" s="35">
        <v>5</v>
      </c>
      <c r="C453" s="31" t="s">
        <v>116</v>
      </c>
      <c r="D453" s="35" t="b">
        <v>1</v>
      </c>
      <c r="E453" s="34" t="s">
        <v>931</v>
      </c>
      <c r="F453" s="31" t="s">
        <v>932</v>
      </c>
      <c r="H453" s="40">
        <v>45722</v>
      </c>
      <c r="I453" s="31" t="str">
        <f t="shared" ca="1" si="14"/>
        <v>●</v>
      </c>
      <c r="J453" s="31">
        <f t="shared" si="15"/>
        <v>451</v>
      </c>
    </row>
    <row r="454" spans="2:10" hidden="1">
      <c r="B454" s="35">
        <v>5</v>
      </c>
      <c r="C454" s="31" t="s">
        <v>116</v>
      </c>
      <c r="D454" s="35" t="b">
        <v>1</v>
      </c>
      <c r="E454" s="34" t="s">
        <v>933</v>
      </c>
      <c r="F454" s="31" t="s">
        <v>934</v>
      </c>
      <c r="H454" s="40">
        <v>45722</v>
      </c>
      <c r="I454" s="31" t="str">
        <f t="shared" ca="1" si="14"/>
        <v>●</v>
      </c>
      <c r="J454" s="31">
        <f t="shared" si="15"/>
        <v>452</v>
      </c>
    </row>
    <row r="455" spans="2:10" hidden="1">
      <c r="B455" s="35">
        <v>5</v>
      </c>
      <c r="C455" s="31" t="s">
        <v>116</v>
      </c>
      <c r="D455" s="35" t="b">
        <v>1</v>
      </c>
      <c r="E455" s="34" t="s">
        <v>935</v>
      </c>
      <c r="F455" s="31" t="s">
        <v>936</v>
      </c>
      <c r="H455" s="40">
        <v>45722</v>
      </c>
      <c r="I455" s="31" t="str">
        <f t="shared" ca="1" si="14"/>
        <v>●</v>
      </c>
      <c r="J455" s="31">
        <f t="shared" si="15"/>
        <v>453</v>
      </c>
    </row>
    <row r="456" spans="2:10" hidden="1">
      <c r="B456" s="35">
        <v>5</v>
      </c>
      <c r="C456" s="31" t="s">
        <v>116</v>
      </c>
      <c r="D456" s="35" t="b">
        <v>1</v>
      </c>
      <c r="E456" s="34" t="s">
        <v>937</v>
      </c>
      <c r="F456" s="31" t="s">
        <v>938</v>
      </c>
      <c r="H456" s="40">
        <v>45722</v>
      </c>
      <c r="I456" s="31" t="str">
        <f t="shared" ca="1" si="14"/>
        <v>●</v>
      </c>
      <c r="J456" s="31">
        <f t="shared" si="15"/>
        <v>454</v>
      </c>
    </row>
    <row r="457" spans="2:10" hidden="1">
      <c r="B457" s="35">
        <v>5</v>
      </c>
      <c r="C457" s="31" t="s">
        <v>116</v>
      </c>
      <c r="D457" s="35" t="b">
        <v>1</v>
      </c>
      <c r="E457" s="34" t="s">
        <v>939</v>
      </c>
      <c r="F457" s="31" t="s">
        <v>940</v>
      </c>
      <c r="H457" s="40">
        <v>45722</v>
      </c>
      <c r="I457" s="31" t="str">
        <f t="shared" ca="1" si="14"/>
        <v>●</v>
      </c>
      <c r="J457" s="31">
        <f t="shared" si="15"/>
        <v>455</v>
      </c>
    </row>
    <row r="458" spans="2:10" hidden="1">
      <c r="B458" s="35">
        <v>5</v>
      </c>
      <c r="C458" s="31" t="s">
        <v>116</v>
      </c>
      <c r="D458" s="35" t="b">
        <v>1</v>
      </c>
      <c r="E458" s="34" t="s">
        <v>941</v>
      </c>
      <c r="F458" s="31" t="s">
        <v>942</v>
      </c>
      <c r="H458" s="40">
        <v>45722</v>
      </c>
      <c r="I458" s="31" t="str">
        <f t="shared" ca="1" si="14"/>
        <v>●</v>
      </c>
      <c r="J458" s="31">
        <f t="shared" si="15"/>
        <v>456</v>
      </c>
    </row>
    <row r="459" spans="2:10" hidden="1">
      <c r="B459" s="35">
        <v>5</v>
      </c>
      <c r="C459" s="31" t="s">
        <v>116</v>
      </c>
      <c r="D459" s="35" t="b">
        <v>1</v>
      </c>
      <c r="E459" s="34" t="s">
        <v>943</v>
      </c>
      <c r="F459" s="31" t="s">
        <v>944</v>
      </c>
      <c r="H459" s="40">
        <v>45722</v>
      </c>
      <c r="I459" s="31" t="str">
        <f t="shared" ca="1" si="14"/>
        <v>●</v>
      </c>
      <c r="J459" s="31">
        <f t="shared" si="15"/>
        <v>457</v>
      </c>
    </row>
    <row r="460" spans="2:10">
      <c r="B460" s="31">
        <v>4</v>
      </c>
      <c r="C460" s="31" t="s">
        <v>116</v>
      </c>
      <c r="D460" s="31" t="b">
        <v>0</v>
      </c>
      <c r="E460" s="34" t="s">
        <v>945</v>
      </c>
      <c r="F460" s="31" t="s">
        <v>946</v>
      </c>
      <c r="H460" s="40">
        <v>45723</v>
      </c>
      <c r="I460" s="31" t="str">
        <f t="shared" ca="1" si="14"/>
        <v>●</v>
      </c>
      <c r="J460" s="31">
        <f t="shared" si="15"/>
        <v>458</v>
      </c>
    </row>
    <row r="461" spans="2:10">
      <c r="B461" s="31">
        <v>4</v>
      </c>
      <c r="C461" s="31" t="s">
        <v>116</v>
      </c>
      <c r="D461" s="31" t="b">
        <v>1</v>
      </c>
      <c r="E461" s="34" t="s">
        <v>947</v>
      </c>
      <c r="F461" s="31" t="s">
        <v>948</v>
      </c>
      <c r="H461" s="40">
        <v>45723</v>
      </c>
      <c r="I461" s="31" t="str">
        <f t="shared" ca="1" si="14"/>
        <v>●</v>
      </c>
      <c r="J461" s="31">
        <f t="shared" si="15"/>
        <v>459</v>
      </c>
    </row>
    <row r="462" spans="2:10">
      <c r="B462" s="31">
        <v>4</v>
      </c>
      <c r="C462" s="31" t="s">
        <v>116</v>
      </c>
      <c r="D462" s="31" t="b">
        <v>0</v>
      </c>
      <c r="E462" s="34" t="s">
        <v>949</v>
      </c>
      <c r="F462" s="31" t="s">
        <v>950</v>
      </c>
      <c r="H462" s="40">
        <v>45723</v>
      </c>
      <c r="I462" s="31" t="str">
        <f t="shared" ca="1" si="14"/>
        <v>●</v>
      </c>
      <c r="J462" s="31">
        <f t="shared" si="15"/>
        <v>460</v>
      </c>
    </row>
    <row r="463" spans="2:10">
      <c r="B463" s="31">
        <v>4</v>
      </c>
      <c r="C463" s="31" t="s">
        <v>116</v>
      </c>
      <c r="D463" s="31" t="b">
        <v>0</v>
      </c>
      <c r="E463" s="34" t="s">
        <v>951</v>
      </c>
      <c r="F463" s="31" t="s">
        <v>952</v>
      </c>
      <c r="H463" s="40">
        <v>45723</v>
      </c>
      <c r="I463" s="31" t="str">
        <f t="shared" ca="1" si="14"/>
        <v>●</v>
      </c>
      <c r="J463" s="31">
        <f t="shared" si="15"/>
        <v>461</v>
      </c>
    </row>
    <row r="464" spans="2:10">
      <c r="B464" s="31">
        <v>4</v>
      </c>
      <c r="C464" s="31" t="s">
        <v>116</v>
      </c>
      <c r="D464" s="31" t="b">
        <v>0</v>
      </c>
      <c r="E464" s="34" t="s">
        <v>953</v>
      </c>
      <c r="F464" s="31" t="s">
        <v>954</v>
      </c>
      <c r="H464" s="40">
        <v>45723</v>
      </c>
      <c r="I464" s="31" t="str">
        <f t="shared" ca="1" si="14"/>
        <v>●</v>
      </c>
      <c r="J464" s="31">
        <f t="shared" si="15"/>
        <v>462</v>
      </c>
    </row>
    <row r="465" spans="2:10" hidden="1">
      <c r="B465" s="35">
        <v>5</v>
      </c>
      <c r="C465" s="31" t="s">
        <v>116</v>
      </c>
      <c r="D465" s="35" t="b">
        <v>1</v>
      </c>
      <c r="E465" s="34" t="s">
        <v>955</v>
      </c>
      <c r="F465" s="31" t="s">
        <v>956</v>
      </c>
      <c r="H465" s="40">
        <v>45722</v>
      </c>
      <c r="I465" s="31" t="str">
        <f t="shared" ca="1" si="14"/>
        <v>●</v>
      </c>
      <c r="J465" s="31">
        <f t="shared" si="15"/>
        <v>463</v>
      </c>
    </row>
    <row r="466" spans="2:10" hidden="1">
      <c r="B466" s="35">
        <v>5</v>
      </c>
      <c r="C466" s="31" t="s">
        <v>116</v>
      </c>
      <c r="D466" s="35" t="b">
        <v>1</v>
      </c>
      <c r="E466" s="34" t="s">
        <v>957</v>
      </c>
      <c r="F466" s="31" t="s">
        <v>958</v>
      </c>
      <c r="H466" s="40">
        <v>45722</v>
      </c>
      <c r="I466" s="31" t="str">
        <f t="shared" ref="I466:I529" ca="1" si="16">IF(H466-$G$1&lt;=0,"●","")</f>
        <v>●</v>
      </c>
      <c r="J466" s="31">
        <f t="shared" ref="J466:J529" si="17">ROW()-2</f>
        <v>464</v>
      </c>
    </row>
    <row r="467" spans="2:10" hidden="1">
      <c r="B467" s="35">
        <v>5</v>
      </c>
      <c r="C467" s="31" t="s">
        <v>116</v>
      </c>
      <c r="D467" s="35" t="b">
        <v>1</v>
      </c>
      <c r="E467" s="34" t="s">
        <v>959</v>
      </c>
      <c r="F467" s="31" t="s">
        <v>960</v>
      </c>
      <c r="H467" s="40">
        <v>45722</v>
      </c>
      <c r="I467" s="31" t="str">
        <f t="shared" ca="1" si="16"/>
        <v>●</v>
      </c>
      <c r="J467" s="31">
        <f t="shared" si="17"/>
        <v>465</v>
      </c>
    </row>
    <row r="468" spans="2:10" hidden="1">
      <c r="B468" s="35">
        <v>5</v>
      </c>
      <c r="C468" s="31" t="s">
        <v>116</v>
      </c>
      <c r="D468" s="35" t="b">
        <v>1</v>
      </c>
      <c r="E468" s="34" t="s">
        <v>961</v>
      </c>
      <c r="F468" s="31" t="s">
        <v>962</v>
      </c>
      <c r="H468" s="40">
        <v>45722</v>
      </c>
      <c r="I468" s="31" t="str">
        <f t="shared" ca="1" si="16"/>
        <v>●</v>
      </c>
      <c r="J468" s="31">
        <f t="shared" si="17"/>
        <v>466</v>
      </c>
    </row>
    <row r="469" spans="2:10" hidden="1">
      <c r="B469" s="35">
        <v>5</v>
      </c>
      <c r="C469" s="31" t="s">
        <v>116</v>
      </c>
      <c r="D469" s="35" t="b">
        <v>1</v>
      </c>
      <c r="E469" s="34" t="s">
        <v>963</v>
      </c>
      <c r="F469" s="31" t="s">
        <v>964</v>
      </c>
      <c r="H469" s="40">
        <v>45722</v>
      </c>
      <c r="I469" s="31" t="str">
        <f t="shared" ca="1" si="16"/>
        <v>●</v>
      </c>
      <c r="J469" s="31">
        <f t="shared" si="17"/>
        <v>467</v>
      </c>
    </row>
    <row r="470" spans="2:10" hidden="1">
      <c r="B470" s="35">
        <v>5</v>
      </c>
      <c r="C470" s="31" t="s">
        <v>116</v>
      </c>
      <c r="D470" s="35" t="b">
        <v>1</v>
      </c>
      <c r="E470" s="34" t="s">
        <v>965</v>
      </c>
      <c r="F470" s="31" t="s">
        <v>966</v>
      </c>
      <c r="H470" s="40">
        <v>45722</v>
      </c>
      <c r="I470" s="31" t="str">
        <f t="shared" ca="1" si="16"/>
        <v>●</v>
      </c>
      <c r="J470" s="31">
        <f t="shared" si="17"/>
        <v>468</v>
      </c>
    </row>
    <row r="471" spans="2:10" hidden="1">
      <c r="B471" s="35">
        <v>5</v>
      </c>
      <c r="C471" s="31" t="s">
        <v>116</v>
      </c>
      <c r="D471" s="35" t="b">
        <v>1</v>
      </c>
      <c r="E471" s="34" t="s">
        <v>967</v>
      </c>
      <c r="F471" s="31" t="s">
        <v>968</v>
      </c>
      <c r="H471" s="40">
        <v>45722</v>
      </c>
      <c r="I471" s="31" t="str">
        <f t="shared" ca="1" si="16"/>
        <v>●</v>
      </c>
      <c r="J471" s="31">
        <f t="shared" si="17"/>
        <v>469</v>
      </c>
    </row>
    <row r="472" spans="2:10" hidden="1">
      <c r="B472" s="35">
        <v>5</v>
      </c>
      <c r="C472" s="31" t="s">
        <v>116</v>
      </c>
      <c r="D472" s="35" t="b">
        <v>1</v>
      </c>
      <c r="E472" s="34" t="s">
        <v>969</v>
      </c>
      <c r="F472" s="31" t="s">
        <v>970</v>
      </c>
      <c r="H472" s="40">
        <v>45722</v>
      </c>
      <c r="I472" s="31" t="str">
        <f t="shared" ca="1" si="16"/>
        <v>●</v>
      </c>
      <c r="J472" s="31">
        <f t="shared" si="17"/>
        <v>470</v>
      </c>
    </row>
    <row r="473" spans="2:10" hidden="1">
      <c r="B473" s="35">
        <v>5</v>
      </c>
      <c r="C473" s="31" t="s">
        <v>116</v>
      </c>
      <c r="D473" s="35" t="b">
        <v>1</v>
      </c>
      <c r="E473" s="34" t="s">
        <v>971</v>
      </c>
      <c r="F473" s="31" t="s">
        <v>972</v>
      </c>
      <c r="H473" s="40">
        <v>45722</v>
      </c>
      <c r="I473" s="31" t="str">
        <f t="shared" ca="1" si="16"/>
        <v>●</v>
      </c>
      <c r="J473" s="31">
        <f t="shared" si="17"/>
        <v>471</v>
      </c>
    </row>
    <row r="474" spans="2:10" hidden="1">
      <c r="B474" s="35">
        <v>5</v>
      </c>
      <c r="C474" s="31" t="s">
        <v>116</v>
      </c>
      <c r="D474" s="35" t="b">
        <v>1</v>
      </c>
      <c r="E474" s="34" t="s">
        <v>973</v>
      </c>
      <c r="F474" s="31" t="s">
        <v>974</v>
      </c>
      <c r="H474" s="40">
        <v>45722</v>
      </c>
      <c r="I474" s="31" t="str">
        <f t="shared" ca="1" si="16"/>
        <v>●</v>
      </c>
      <c r="J474" s="31">
        <f t="shared" si="17"/>
        <v>472</v>
      </c>
    </row>
    <row r="475" spans="2:10" hidden="1">
      <c r="B475" s="35">
        <v>5</v>
      </c>
      <c r="C475" s="31" t="s">
        <v>116</v>
      </c>
      <c r="D475" s="35" t="b">
        <v>1</v>
      </c>
      <c r="E475" s="34" t="s">
        <v>975</v>
      </c>
      <c r="F475" s="31" t="s">
        <v>976</v>
      </c>
      <c r="H475" s="40">
        <v>45722</v>
      </c>
      <c r="I475" s="31" t="str">
        <f t="shared" ca="1" si="16"/>
        <v>●</v>
      </c>
      <c r="J475" s="31">
        <f t="shared" si="17"/>
        <v>473</v>
      </c>
    </row>
    <row r="476" spans="2:10" hidden="1">
      <c r="B476" s="35">
        <v>5</v>
      </c>
      <c r="C476" s="31" t="s">
        <v>116</v>
      </c>
      <c r="D476" s="35" t="b">
        <v>1</v>
      </c>
      <c r="E476" s="34" t="s">
        <v>977</v>
      </c>
      <c r="F476" s="31" t="s">
        <v>978</v>
      </c>
      <c r="H476" s="40">
        <v>45722</v>
      </c>
      <c r="I476" s="31" t="str">
        <f t="shared" ca="1" si="16"/>
        <v>●</v>
      </c>
      <c r="J476" s="31">
        <f t="shared" si="17"/>
        <v>474</v>
      </c>
    </row>
    <row r="477" spans="2:10" hidden="1">
      <c r="B477" s="35">
        <v>5</v>
      </c>
      <c r="C477" s="31" t="s">
        <v>116</v>
      </c>
      <c r="D477" s="35" t="b">
        <v>1</v>
      </c>
      <c r="E477" s="34" t="s">
        <v>979</v>
      </c>
      <c r="F477" s="31" t="s">
        <v>980</v>
      </c>
      <c r="H477" s="40">
        <v>45722</v>
      </c>
      <c r="I477" s="31" t="str">
        <f t="shared" ca="1" si="16"/>
        <v>●</v>
      </c>
      <c r="J477" s="31">
        <f t="shared" si="17"/>
        <v>475</v>
      </c>
    </row>
    <row r="478" spans="2:10" hidden="1">
      <c r="B478" s="35">
        <v>5</v>
      </c>
      <c r="C478" s="31" t="s">
        <v>116</v>
      </c>
      <c r="D478" s="35" t="b">
        <v>1</v>
      </c>
      <c r="E478" s="34" t="s">
        <v>981</v>
      </c>
      <c r="F478" s="31" t="s">
        <v>982</v>
      </c>
      <c r="H478" s="40">
        <v>45722</v>
      </c>
      <c r="I478" s="31" t="str">
        <f t="shared" ca="1" si="16"/>
        <v>●</v>
      </c>
      <c r="J478" s="31">
        <f t="shared" si="17"/>
        <v>476</v>
      </c>
    </row>
    <row r="479" spans="2:10" hidden="1">
      <c r="B479" s="35">
        <v>5</v>
      </c>
      <c r="C479" s="31" t="s">
        <v>116</v>
      </c>
      <c r="D479" s="35" t="b">
        <v>1</v>
      </c>
      <c r="E479" s="34" t="s">
        <v>983</v>
      </c>
      <c r="F479" s="31" t="s">
        <v>984</v>
      </c>
      <c r="H479" s="40">
        <v>45722</v>
      </c>
      <c r="I479" s="31" t="str">
        <f t="shared" ca="1" si="16"/>
        <v>●</v>
      </c>
      <c r="J479" s="31">
        <f t="shared" si="17"/>
        <v>477</v>
      </c>
    </row>
    <row r="480" spans="2:10" hidden="1">
      <c r="B480" s="35">
        <v>5</v>
      </c>
      <c r="C480" s="31" t="s">
        <v>116</v>
      </c>
      <c r="D480" s="35" t="b">
        <v>1</v>
      </c>
      <c r="E480" s="34" t="s">
        <v>985</v>
      </c>
      <c r="F480" s="31" t="s">
        <v>986</v>
      </c>
      <c r="H480" s="40">
        <v>45722</v>
      </c>
      <c r="I480" s="31" t="str">
        <f t="shared" ca="1" si="16"/>
        <v>●</v>
      </c>
      <c r="J480" s="31">
        <f t="shared" si="17"/>
        <v>478</v>
      </c>
    </row>
    <row r="481" spans="2:10" hidden="1">
      <c r="B481" s="35">
        <v>5</v>
      </c>
      <c r="C481" s="31" t="s">
        <v>116</v>
      </c>
      <c r="D481" s="35" t="b">
        <v>1</v>
      </c>
      <c r="E481" s="34" t="s">
        <v>987</v>
      </c>
      <c r="F481" s="31" t="s">
        <v>988</v>
      </c>
      <c r="H481" s="40">
        <v>45722</v>
      </c>
      <c r="I481" s="31" t="str">
        <f t="shared" ca="1" si="16"/>
        <v>●</v>
      </c>
      <c r="J481" s="31">
        <f t="shared" si="17"/>
        <v>479</v>
      </c>
    </row>
    <row r="482" spans="2:10" hidden="1">
      <c r="B482" s="35">
        <v>5</v>
      </c>
      <c r="C482" s="31" t="s">
        <v>116</v>
      </c>
      <c r="D482" s="35" t="b">
        <v>1</v>
      </c>
      <c r="E482" s="34" t="s">
        <v>989</v>
      </c>
      <c r="F482" s="31" t="s">
        <v>990</v>
      </c>
      <c r="H482" s="40">
        <v>45722</v>
      </c>
      <c r="I482" s="31" t="str">
        <f t="shared" ca="1" si="16"/>
        <v>●</v>
      </c>
      <c r="J482" s="31">
        <f t="shared" si="17"/>
        <v>480</v>
      </c>
    </row>
    <row r="483" spans="2:10" hidden="1">
      <c r="B483" s="35">
        <v>5</v>
      </c>
      <c r="C483" s="31" t="s">
        <v>116</v>
      </c>
      <c r="D483" s="35" t="b">
        <v>1</v>
      </c>
      <c r="E483" s="34" t="s">
        <v>991</v>
      </c>
      <c r="F483" s="31" t="s">
        <v>992</v>
      </c>
      <c r="H483" s="40">
        <v>45722</v>
      </c>
      <c r="I483" s="31" t="str">
        <f t="shared" ca="1" si="16"/>
        <v>●</v>
      </c>
      <c r="J483" s="31">
        <f t="shared" si="17"/>
        <v>481</v>
      </c>
    </row>
    <row r="484" spans="2:10" hidden="1">
      <c r="B484" s="35">
        <v>5</v>
      </c>
      <c r="C484" s="31" t="s">
        <v>116</v>
      </c>
      <c r="D484" s="35" t="b">
        <v>1</v>
      </c>
      <c r="E484" s="34" t="s">
        <v>993</v>
      </c>
      <c r="F484" s="31" t="s">
        <v>994</v>
      </c>
      <c r="H484" s="40">
        <v>45722</v>
      </c>
      <c r="I484" s="31" t="str">
        <f t="shared" ca="1" si="16"/>
        <v>●</v>
      </c>
      <c r="J484" s="31">
        <f t="shared" si="17"/>
        <v>482</v>
      </c>
    </row>
    <row r="485" spans="2:10" hidden="1">
      <c r="B485" s="35">
        <v>5</v>
      </c>
      <c r="C485" s="31" t="s">
        <v>116</v>
      </c>
      <c r="D485" s="35" t="b">
        <v>1</v>
      </c>
      <c r="E485" s="34" t="s">
        <v>995</v>
      </c>
      <c r="F485" s="31" t="s">
        <v>996</v>
      </c>
      <c r="H485" s="40">
        <v>45722</v>
      </c>
      <c r="I485" s="31" t="str">
        <f t="shared" ca="1" si="16"/>
        <v>●</v>
      </c>
      <c r="J485" s="31">
        <f t="shared" si="17"/>
        <v>483</v>
      </c>
    </row>
    <row r="486" spans="2:10" hidden="1">
      <c r="B486" s="35">
        <v>5</v>
      </c>
      <c r="C486" s="31" t="s">
        <v>116</v>
      </c>
      <c r="D486" s="35" t="b">
        <v>1</v>
      </c>
      <c r="E486" s="34" t="s">
        <v>997</v>
      </c>
      <c r="F486" s="31" t="s">
        <v>998</v>
      </c>
      <c r="H486" s="40">
        <v>45722</v>
      </c>
      <c r="I486" s="31" t="str">
        <f t="shared" ca="1" si="16"/>
        <v>●</v>
      </c>
      <c r="J486" s="31">
        <f t="shared" si="17"/>
        <v>484</v>
      </c>
    </row>
    <row r="487" spans="2:10" hidden="1">
      <c r="B487" s="35">
        <v>5</v>
      </c>
      <c r="C487" s="31" t="s">
        <v>116</v>
      </c>
      <c r="D487" s="35" t="b">
        <v>1</v>
      </c>
      <c r="E487" s="34" t="s">
        <v>999</v>
      </c>
      <c r="F487" s="31" t="s">
        <v>1000</v>
      </c>
      <c r="H487" s="40">
        <v>45722</v>
      </c>
      <c r="I487" s="31" t="str">
        <f t="shared" ca="1" si="16"/>
        <v>●</v>
      </c>
      <c r="J487" s="31">
        <f t="shared" si="17"/>
        <v>485</v>
      </c>
    </row>
    <row r="488" spans="2:10" hidden="1">
      <c r="B488" s="35">
        <v>5</v>
      </c>
      <c r="C488" s="31" t="s">
        <v>116</v>
      </c>
      <c r="D488" s="35" t="b">
        <v>1</v>
      </c>
      <c r="E488" s="34" t="s">
        <v>1001</v>
      </c>
      <c r="F488" s="31" t="s">
        <v>1002</v>
      </c>
      <c r="H488" s="40">
        <v>45722</v>
      </c>
      <c r="I488" s="31" t="str">
        <f t="shared" ca="1" si="16"/>
        <v>●</v>
      </c>
      <c r="J488" s="31">
        <f t="shared" si="17"/>
        <v>486</v>
      </c>
    </row>
    <row r="489" spans="2:10" hidden="1">
      <c r="B489" s="35">
        <v>5</v>
      </c>
      <c r="C489" s="31" t="s">
        <v>116</v>
      </c>
      <c r="D489" s="35" t="b">
        <v>1</v>
      </c>
      <c r="E489" s="34" t="s">
        <v>1003</v>
      </c>
      <c r="F489" s="31" t="s">
        <v>1004</v>
      </c>
      <c r="H489" s="40">
        <v>45722</v>
      </c>
      <c r="I489" s="31" t="str">
        <f t="shared" ca="1" si="16"/>
        <v>●</v>
      </c>
      <c r="J489" s="31">
        <f t="shared" si="17"/>
        <v>487</v>
      </c>
    </row>
    <row r="490" spans="2:10" hidden="1">
      <c r="B490" s="35">
        <v>5</v>
      </c>
      <c r="C490" s="31" t="s">
        <v>116</v>
      </c>
      <c r="D490" s="35" t="b">
        <v>1</v>
      </c>
      <c r="E490" s="34" t="s">
        <v>1005</v>
      </c>
      <c r="F490" s="31" t="s">
        <v>1006</v>
      </c>
      <c r="H490" s="40">
        <v>45722</v>
      </c>
      <c r="I490" s="31" t="str">
        <f t="shared" ca="1" si="16"/>
        <v>●</v>
      </c>
      <c r="J490" s="31">
        <f t="shared" si="17"/>
        <v>488</v>
      </c>
    </row>
    <row r="491" spans="2:10" hidden="1">
      <c r="B491" s="35">
        <v>5</v>
      </c>
      <c r="C491" s="31" t="s">
        <v>116</v>
      </c>
      <c r="D491" s="35" t="b">
        <v>1</v>
      </c>
      <c r="E491" s="34" t="s">
        <v>1007</v>
      </c>
      <c r="F491" s="31" t="s">
        <v>958</v>
      </c>
      <c r="H491" s="40">
        <v>45722</v>
      </c>
      <c r="I491" s="31" t="str">
        <f t="shared" ca="1" si="16"/>
        <v>●</v>
      </c>
      <c r="J491" s="31">
        <f t="shared" si="17"/>
        <v>489</v>
      </c>
    </row>
    <row r="492" spans="2:10" hidden="1">
      <c r="B492" s="35">
        <v>5</v>
      </c>
      <c r="C492" s="31" t="s">
        <v>116</v>
      </c>
      <c r="D492" s="35" t="b">
        <v>0</v>
      </c>
      <c r="E492" s="34" t="s">
        <v>1008</v>
      </c>
      <c r="F492" s="31" t="s">
        <v>1009</v>
      </c>
      <c r="H492" s="40">
        <v>45722</v>
      </c>
      <c r="I492" s="31" t="str">
        <f t="shared" ca="1" si="16"/>
        <v>●</v>
      </c>
      <c r="J492" s="31">
        <f t="shared" si="17"/>
        <v>490</v>
      </c>
    </row>
    <row r="493" spans="2:10" hidden="1">
      <c r="B493" s="35">
        <v>5</v>
      </c>
      <c r="C493" s="31" t="s">
        <v>116</v>
      </c>
      <c r="D493" s="35" t="b">
        <v>1</v>
      </c>
      <c r="E493" s="34" t="s">
        <v>1010</v>
      </c>
      <c r="F493" s="31" t="s">
        <v>1011</v>
      </c>
      <c r="H493" s="40">
        <v>45722</v>
      </c>
      <c r="I493" s="31" t="str">
        <f t="shared" ca="1" si="16"/>
        <v>●</v>
      </c>
      <c r="J493" s="31">
        <f t="shared" si="17"/>
        <v>491</v>
      </c>
    </row>
    <row r="494" spans="2:10" hidden="1">
      <c r="B494" s="35">
        <v>5</v>
      </c>
      <c r="C494" s="31" t="s">
        <v>116</v>
      </c>
      <c r="D494" s="35" t="b">
        <v>1</v>
      </c>
      <c r="E494" s="34" t="s">
        <v>1012</v>
      </c>
      <c r="F494" s="31" t="s">
        <v>1013</v>
      </c>
      <c r="H494" s="40">
        <v>45722</v>
      </c>
      <c r="I494" s="31" t="str">
        <f t="shared" ca="1" si="16"/>
        <v>●</v>
      </c>
      <c r="J494" s="31">
        <f t="shared" si="17"/>
        <v>492</v>
      </c>
    </row>
    <row r="495" spans="2:10" hidden="1">
      <c r="B495" s="35">
        <v>5</v>
      </c>
      <c r="C495" s="31" t="s">
        <v>116</v>
      </c>
      <c r="D495" s="35" t="b">
        <v>1</v>
      </c>
      <c r="E495" s="34" t="s">
        <v>1014</v>
      </c>
      <c r="F495" s="31" t="s">
        <v>1015</v>
      </c>
      <c r="H495" s="40">
        <v>45722</v>
      </c>
      <c r="I495" s="31" t="str">
        <f t="shared" ca="1" si="16"/>
        <v>●</v>
      </c>
      <c r="J495" s="31">
        <f t="shared" si="17"/>
        <v>493</v>
      </c>
    </row>
    <row r="496" spans="2:10" hidden="1">
      <c r="B496" s="35">
        <v>5</v>
      </c>
      <c r="C496" s="31" t="s">
        <v>116</v>
      </c>
      <c r="D496" s="35" t="b">
        <v>0</v>
      </c>
      <c r="E496" s="34" t="s">
        <v>1016</v>
      </c>
      <c r="F496" s="31" t="s">
        <v>1017</v>
      </c>
      <c r="H496" s="40">
        <v>45722</v>
      </c>
      <c r="I496" s="31" t="str">
        <f t="shared" ca="1" si="16"/>
        <v>●</v>
      </c>
      <c r="J496" s="31">
        <f t="shared" si="17"/>
        <v>494</v>
      </c>
    </row>
    <row r="497" spans="2:10" hidden="1">
      <c r="B497" s="35">
        <v>5</v>
      </c>
      <c r="C497" s="31" t="s">
        <v>116</v>
      </c>
      <c r="D497" s="35" t="b">
        <v>1</v>
      </c>
      <c r="E497" s="34" t="s">
        <v>1018</v>
      </c>
      <c r="F497" s="31" t="s">
        <v>1019</v>
      </c>
      <c r="H497" s="40">
        <v>45722</v>
      </c>
      <c r="I497" s="31" t="str">
        <f t="shared" ca="1" si="16"/>
        <v>●</v>
      </c>
      <c r="J497" s="31">
        <f t="shared" si="17"/>
        <v>495</v>
      </c>
    </row>
    <row r="498" spans="2:10" hidden="1">
      <c r="B498" s="35">
        <v>5</v>
      </c>
      <c r="C498" s="31" t="s">
        <v>116</v>
      </c>
      <c r="D498" s="35" t="b">
        <v>1</v>
      </c>
      <c r="E498" s="34" t="s">
        <v>1020</v>
      </c>
      <c r="F498" s="31" t="s">
        <v>1021</v>
      </c>
      <c r="H498" s="40">
        <v>45722</v>
      </c>
      <c r="I498" s="31" t="str">
        <f t="shared" ca="1" si="16"/>
        <v>●</v>
      </c>
      <c r="J498" s="31">
        <f t="shared" si="17"/>
        <v>496</v>
      </c>
    </row>
    <row r="499" spans="2:10" hidden="1">
      <c r="B499" s="35">
        <v>5</v>
      </c>
      <c r="C499" s="31" t="s">
        <v>116</v>
      </c>
      <c r="D499" s="35" t="b">
        <v>1</v>
      </c>
      <c r="E499" s="34" t="s">
        <v>1022</v>
      </c>
      <c r="F499" s="31" t="s">
        <v>1023</v>
      </c>
      <c r="H499" s="40">
        <v>45722</v>
      </c>
      <c r="I499" s="31" t="str">
        <f t="shared" ca="1" si="16"/>
        <v>●</v>
      </c>
      <c r="J499" s="31">
        <f t="shared" si="17"/>
        <v>497</v>
      </c>
    </row>
    <row r="500" spans="2:10" hidden="1">
      <c r="B500" s="35">
        <v>5</v>
      </c>
      <c r="C500" s="31" t="s">
        <v>116</v>
      </c>
      <c r="D500" s="35" t="b">
        <v>1</v>
      </c>
      <c r="E500" s="34" t="s">
        <v>1024</v>
      </c>
      <c r="F500" s="31" t="s">
        <v>1025</v>
      </c>
      <c r="H500" s="40">
        <v>45722</v>
      </c>
      <c r="I500" s="31" t="str">
        <f t="shared" ca="1" si="16"/>
        <v>●</v>
      </c>
      <c r="J500" s="31">
        <f t="shared" si="17"/>
        <v>498</v>
      </c>
    </row>
    <row r="501" spans="2:10" hidden="1">
      <c r="B501" s="35">
        <v>5</v>
      </c>
      <c r="C501" s="31" t="s">
        <v>116</v>
      </c>
      <c r="D501" s="35" t="b">
        <v>1</v>
      </c>
      <c r="E501" s="34" t="s">
        <v>1026</v>
      </c>
      <c r="F501" s="31" t="s">
        <v>1027</v>
      </c>
      <c r="H501" s="40">
        <v>45722</v>
      </c>
      <c r="I501" s="31" t="str">
        <f t="shared" ca="1" si="16"/>
        <v>●</v>
      </c>
      <c r="J501" s="31">
        <f t="shared" si="17"/>
        <v>499</v>
      </c>
    </row>
    <row r="502" spans="2:10" hidden="1">
      <c r="B502" s="35">
        <v>5</v>
      </c>
      <c r="C502" s="31" t="s">
        <v>116</v>
      </c>
      <c r="D502" s="35" t="b">
        <v>1</v>
      </c>
      <c r="E502" s="34" t="s">
        <v>1028</v>
      </c>
      <c r="F502" s="31" t="s">
        <v>1029</v>
      </c>
      <c r="H502" s="40">
        <v>45722</v>
      </c>
      <c r="I502" s="31" t="str">
        <f t="shared" ca="1" si="16"/>
        <v>●</v>
      </c>
      <c r="J502" s="31">
        <f t="shared" si="17"/>
        <v>500</v>
      </c>
    </row>
    <row r="503" spans="2:10" hidden="1">
      <c r="B503" s="35">
        <v>5</v>
      </c>
      <c r="C503" s="31" t="s">
        <v>116</v>
      </c>
      <c r="D503" s="35" t="b">
        <v>1</v>
      </c>
      <c r="E503" s="34" t="s">
        <v>1030</v>
      </c>
      <c r="F503" s="31" t="s">
        <v>1031</v>
      </c>
      <c r="H503" s="40">
        <v>45722</v>
      </c>
      <c r="I503" s="31" t="str">
        <f t="shared" ca="1" si="16"/>
        <v>●</v>
      </c>
      <c r="J503" s="31">
        <f t="shared" si="17"/>
        <v>501</v>
      </c>
    </row>
    <row r="504" spans="2:10" hidden="1">
      <c r="B504" s="35">
        <v>5</v>
      </c>
      <c r="C504" s="31" t="s">
        <v>116</v>
      </c>
      <c r="D504" s="35" t="b">
        <v>1</v>
      </c>
      <c r="E504" s="34" t="s">
        <v>1032</v>
      </c>
      <c r="F504" s="31" t="s">
        <v>1033</v>
      </c>
      <c r="H504" s="40">
        <v>45722</v>
      </c>
      <c r="I504" s="31" t="str">
        <f t="shared" ca="1" si="16"/>
        <v>●</v>
      </c>
      <c r="J504" s="31">
        <f t="shared" si="17"/>
        <v>502</v>
      </c>
    </row>
    <row r="505" spans="2:10" hidden="1">
      <c r="B505" s="35">
        <v>5</v>
      </c>
      <c r="C505" s="31" t="s">
        <v>116</v>
      </c>
      <c r="D505" s="35" t="b">
        <v>1</v>
      </c>
      <c r="E505" s="34" t="s">
        <v>1034</v>
      </c>
      <c r="F505" s="31" t="s">
        <v>1035</v>
      </c>
      <c r="H505" s="40">
        <v>45722</v>
      </c>
      <c r="I505" s="31" t="str">
        <f t="shared" ca="1" si="16"/>
        <v>●</v>
      </c>
      <c r="J505" s="31">
        <f t="shared" si="17"/>
        <v>503</v>
      </c>
    </row>
    <row r="506" spans="2:10" hidden="1">
      <c r="B506" s="35">
        <v>5</v>
      </c>
      <c r="C506" s="31" t="s">
        <v>116</v>
      </c>
      <c r="D506" s="35" t="b">
        <v>1</v>
      </c>
      <c r="E506" s="34" t="s">
        <v>1036</v>
      </c>
      <c r="F506" s="31" t="s">
        <v>1037</v>
      </c>
      <c r="H506" s="40">
        <v>45722</v>
      </c>
      <c r="I506" s="31" t="str">
        <f t="shared" ca="1" si="16"/>
        <v>●</v>
      </c>
      <c r="J506" s="31">
        <f t="shared" si="17"/>
        <v>504</v>
      </c>
    </row>
    <row r="507" spans="2:10" hidden="1">
      <c r="B507" s="35">
        <v>5</v>
      </c>
      <c r="C507" s="31" t="s">
        <v>116</v>
      </c>
      <c r="D507" s="35" t="b">
        <v>1</v>
      </c>
      <c r="E507" s="34" t="s">
        <v>417</v>
      </c>
      <c r="F507" s="31" t="s">
        <v>1038</v>
      </c>
      <c r="H507" s="40">
        <v>45722</v>
      </c>
      <c r="I507" s="31" t="str">
        <f t="shared" ca="1" si="16"/>
        <v>●</v>
      </c>
      <c r="J507" s="31">
        <f t="shared" si="17"/>
        <v>505</v>
      </c>
    </row>
    <row r="508" spans="2:10" hidden="1">
      <c r="B508" s="35">
        <v>5</v>
      </c>
      <c r="C508" s="31" t="s">
        <v>116</v>
      </c>
      <c r="D508" s="35" t="b">
        <v>1</v>
      </c>
      <c r="E508" s="34" t="s">
        <v>1039</v>
      </c>
      <c r="F508" s="31" t="s">
        <v>1040</v>
      </c>
      <c r="H508" s="40">
        <v>45722</v>
      </c>
      <c r="I508" s="31" t="str">
        <f t="shared" ca="1" si="16"/>
        <v>●</v>
      </c>
      <c r="J508" s="31">
        <f t="shared" si="17"/>
        <v>506</v>
      </c>
    </row>
    <row r="509" spans="2:10" hidden="1">
      <c r="B509" s="35">
        <v>5</v>
      </c>
      <c r="C509" s="31" t="s">
        <v>116</v>
      </c>
      <c r="D509" s="35" t="b">
        <v>1</v>
      </c>
      <c r="E509" s="34" t="s">
        <v>1041</v>
      </c>
      <c r="F509" s="31" t="s">
        <v>1042</v>
      </c>
      <c r="H509" s="40">
        <v>45722</v>
      </c>
      <c r="I509" s="31" t="str">
        <f t="shared" ca="1" si="16"/>
        <v>●</v>
      </c>
      <c r="J509" s="31">
        <f t="shared" si="17"/>
        <v>507</v>
      </c>
    </row>
    <row r="510" spans="2:10" hidden="1">
      <c r="B510" s="35">
        <v>5</v>
      </c>
      <c r="C510" s="31" t="s">
        <v>116</v>
      </c>
      <c r="D510" s="35" t="b">
        <v>1</v>
      </c>
      <c r="E510" s="34" t="s">
        <v>1043</v>
      </c>
      <c r="F510" s="31" t="s">
        <v>1044</v>
      </c>
      <c r="H510" s="40">
        <v>45722</v>
      </c>
      <c r="I510" s="31" t="str">
        <f t="shared" ca="1" si="16"/>
        <v>●</v>
      </c>
      <c r="J510" s="31">
        <f t="shared" si="17"/>
        <v>508</v>
      </c>
    </row>
    <row r="511" spans="2:10" hidden="1">
      <c r="B511" s="35">
        <v>5</v>
      </c>
      <c r="C511" s="31" t="s">
        <v>116</v>
      </c>
      <c r="D511" s="35" t="b">
        <v>1</v>
      </c>
      <c r="E511" s="34" t="s">
        <v>1045</v>
      </c>
      <c r="F511" s="31" t="s">
        <v>1046</v>
      </c>
      <c r="H511" s="40">
        <v>45722</v>
      </c>
      <c r="I511" s="31" t="str">
        <f t="shared" ca="1" si="16"/>
        <v>●</v>
      </c>
      <c r="J511" s="31">
        <f t="shared" si="17"/>
        <v>509</v>
      </c>
    </row>
    <row r="512" spans="2:10" hidden="1">
      <c r="B512" s="35">
        <v>5</v>
      </c>
      <c r="C512" s="31" t="s">
        <v>116</v>
      </c>
      <c r="D512" s="35" t="b">
        <v>1</v>
      </c>
      <c r="E512" s="34" t="s">
        <v>1047</v>
      </c>
      <c r="F512" s="31" t="s">
        <v>1048</v>
      </c>
      <c r="H512" s="40">
        <v>45722</v>
      </c>
      <c r="I512" s="31" t="str">
        <f t="shared" ca="1" si="16"/>
        <v>●</v>
      </c>
      <c r="J512" s="31">
        <f t="shared" si="17"/>
        <v>510</v>
      </c>
    </row>
    <row r="513" spans="2:10" hidden="1">
      <c r="B513" s="35">
        <v>5</v>
      </c>
      <c r="C513" s="31" t="s">
        <v>116</v>
      </c>
      <c r="D513" s="35" t="b">
        <v>1</v>
      </c>
      <c r="E513" s="34" t="s">
        <v>1049</v>
      </c>
      <c r="F513" s="31" t="s">
        <v>1050</v>
      </c>
      <c r="H513" s="40">
        <v>45722</v>
      </c>
      <c r="I513" s="31" t="str">
        <f t="shared" ca="1" si="16"/>
        <v>●</v>
      </c>
      <c r="J513" s="31">
        <f t="shared" si="17"/>
        <v>511</v>
      </c>
    </row>
    <row r="514" spans="2:10" hidden="1">
      <c r="B514" s="35">
        <v>5</v>
      </c>
      <c r="C514" s="31" t="s">
        <v>116</v>
      </c>
      <c r="D514" s="35" t="b">
        <v>1</v>
      </c>
      <c r="E514" s="34" t="s">
        <v>1051</v>
      </c>
      <c r="F514" s="31" t="s">
        <v>1052</v>
      </c>
      <c r="H514" s="40">
        <v>45722</v>
      </c>
      <c r="I514" s="31" t="str">
        <f t="shared" ca="1" si="16"/>
        <v>●</v>
      </c>
      <c r="J514" s="31">
        <f t="shared" si="17"/>
        <v>512</v>
      </c>
    </row>
    <row r="515" spans="2:10" hidden="1">
      <c r="B515" s="35">
        <v>5</v>
      </c>
      <c r="C515" s="31" t="s">
        <v>116</v>
      </c>
      <c r="D515" s="35" t="b">
        <v>1</v>
      </c>
      <c r="E515" s="34" t="s">
        <v>1053</v>
      </c>
      <c r="F515" s="31" t="s">
        <v>1054</v>
      </c>
      <c r="H515" s="40">
        <v>45722</v>
      </c>
      <c r="I515" s="31" t="str">
        <f t="shared" ca="1" si="16"/>
        <v>●</v>
      </c>
      <c r="J515" s="31">
        <f t="shared" si="17"/>
        <v>513</v>
      </c>
    </row>
    <row r="516" spans="2:10" hidden="1">
      <c r="B516" s="35">
        <v>5</v>
      </c>
      <c r="C516" s="31" t="s">
        <v>116</v>
      </c>
      <c r="D516" s="35" t="b">
        <v>1</v>
      </c>
      <c r="E516" s="34" t="s">
        <v>1055</v>
      </c>
      <c r="F516" s="31" t="s">
        <v>1056</v>
      </c>
      <c r="H516" s="40">
        <v>45722</v>
      </c>
      <c r="I516" s="31" t="str">
        <f t="shared" ca="1" si="16"/>
        <v>●</v>
      </c>
      <c r="J516" s="31">
        <f t="shared" si="17"/>
        <v>514</v>
      </c>
    </row>
    <row r="517" spans="2:10" hidden="1">
      <c r="B517" s="35">
        <v>5</v>
      </c>
      <c r="C517" s="31" t="s">
        <v>116</v>
      </c>
      <c r="D517" s="35" t="b">
        <v>1</v>
      </c>
      <c r="E517" s="34" t="s">
        <v>1057</v>
      </c>
      <c r="F517" s="31" t="s">
        <v>1058</v>
      </c>
      <c r="H517" s="40">
        <v>45722</v>
      </c>
      <c r="I517" s="31" t="str">
        <f t="shared" ca="1" si="16"/>
        <v>●</v>
      </c>
      <c r="J517" s="31">
        <f t="shared" si="17"/>
        <v>515</v>
      </c>
    </row>
    <row r="518" spans="2:10" hidden="1">
      <c r="B518" s="35">
        <v>5</v>
      </c>
      <c r="C518" s="31" t="s">
        <v>116</v>
      </c>
      <c r="D518" s="35" t="b">
        <v>1</v>
      </c>
      <c r="E518" s="34" t="s">
        <v>1059</v>
      </c>
      <c r="F518" s="31" t="s">
        <v>1060</v>
      </c>
      <c r="H518" s="40">
        <v>45722</v>
      </c>
      <c r="I518" s="31" t="str">
        <f t="shared" ca="1" si="16"/>
        <v>●</v>
      </c>
      <c r="J518" s="31">
        <f t="shared" si="17"/>
        <v>516</v>
      </c>
    </row>
    <row r="519" spans="2:10" hidden="1">
      <c r="B519" s="35">
        <v>5</v>
      </c>
      <c r="C519" s="31" t="s">
        <v>116</v>
      </c>
      <c r="D519" s="35" t="b">
        <v>1</v>
      </c>
      <c r="E519" s="34" t="s">
        <v>1061</v>
      </c>
      <c r="F519" s="31" t="s">
        <v>1062</v>
      </c>
      <c r="H519" s="40">
        <v>45722</v>
      </c>
      <c r="I519" s="31" t="str">
        <f t="shared" ca="1" si="16"/>
        <v>●</v>
      </c>
      <c r="J519" s="31">
        <f t="shared" si="17"/>
        <v>517</v>
      </c>
    </row>
    <row r="520" spans="2:10" hidden="1">
      <c r="B520" s="35">
        <v>5</v>
      </c>
      <c r="C520" s="31" t="s">
        <v>116</v>
      </c>
      <c r="D520" s="35" t="b">
        <v>1</v>
      </c>
      <c r="E520" s="34" t="s">
        <v>1063</v>
      </c>
      <c r="F520" s="31" t="s">
        <v>1064</v>
      </c>
      <c r="H520" s="40">
        <v>45722</v>
      </c>
      <c r="I520" s="31" t="str">
        <f t="shared" ca="1" si="16"/>
        <v>●</v>
      </c>
      <c r="J520" s="31">
        <f t="shared" si="17"/>
        <v>518</v>
      </c>
    </row>
    <row r="521" spans="2:10" hidden="1">
      <c r="B521" s="35">
        <v>5</v>
      </c>
      <c r="C521" s="31" t="s">
        <v>116</v>
      </c>
      <c r="D521" s="35" t="b">
        <v>1</v>
      </c>
      <c r="E521" s="34" t="s">
        <v>1065</v>
      </c>
      <c r="F521" s="31" t="s">
        <v>1066</v>
      </c>
      <c r="H521" s="40">
        <v>45722</v>
      </c>
      <c r="I521" s="31" t="str">
        <f t="shared" ca="1" si="16"/>
        <v>●</v>
      </c>
      <c r="J521" s="31">
        <f t="shared" si="17"/>
        <v>519</v>
      </c>
    </row>
    <row r="522" spans="2:10" hidden="1">
      <c r="B522" s="35">
        <v>5</v>
      </c>
      <c r="C522" s="31" t="s">
        <v>116</v>
      </c>
      <c r="D522" s="35" t="b">
        <v>1</v>
      </c>
      <c r="E522" s="34" t="s">
        <v>1067</v>
      </c>
      <c r="F522" s="31" t="s">
        <v>1068</v>
      </c>
      <c r="H522" s="40">
        <v>45722</v>
      </c>
      <c r="I522" s="31" t="str">
        <f t="shared" ca="1" si="16"/>
        <v>●</v>
      </c>
      <c r="J522" s="31">
        <f t="shared" si="17"/>
        <v>520</v>
      </c>
    </row>
    <row r="523" spans="2:10" hidden="1">
      <c r="B523" s="35">
        <v>5</v>
      </c>
      <c r="C523" s="31" t="s">
        <v>116</v>
      </c>
      <c r="D523" s="35" t="b">
        <v>1</v>
      </c>
      <c r="E523" s="34" t="s">
        <v>1069</v>
      </c>
      <c r="F523" s="31" t="s">
        <v>1070</v>
      </c>
      <c r="H523" s="40">
        <v>45722</v>
      </c>
      <c r="I523" s="31" t="str">
        <f t="shared" ca="1" si="16"/>
        <v>●</v>
      </c>
      <c r="J523" s="31">
        <f t="shared" si="17"/>
        <v>521</v>
      </c>
    </row>
    <row r="524" spans="2:10" hidden="1">
      <c r="B524" s="35">
        <v>5</v>
      </c>
      <c r="C524" s="31" t="s">
        <v>116</v>
      </c>
      <c r="D524" s="35" t="b">
        <v>1</v>
      </c>
      <c r="E524" s="34" t="s">
        <v>1071</v>
      </c>
      <c r="F524" s="31" t="s">
        <v>1072</v>
      </c>
      <c r="H524" s="40">
        <v>45722</v>
      </c>
      <c r="I524" s="31" t="str">
        <f t="shared" ca="1" si="16"/>
        <v>●</v>
      </c>
      <c r="J524" s="31">
        <f t="shared" si="17"/>
        <v>522</v>
      </c>
    </row>
    <row r="525" spans="2:10" hidden="1">
      <c r="B525" s="35">
        <v>5</v>
      </c>
      <c r="C525" s="31" t="s">
        <v>116</v>
      </c>
      <c r="D525" s="35" t="b">
        <v>0</v>
      </c>
      <c r="E525" s="34" t="s">
        <v>1073</v>
      </c>
      <c r="F525" s="31" t="s">
        <v>1074</v>
      </c>
      <c r="H525" s="40">
        <v>45722</v>
      </c>
      <c r="I525" s="31" t="str">
        <f t="shared" ca="1" si="16"/>
        <v>●</v>
      </c>
      <c r="J525" s="31">
        <f t="shared" si="17"/>
        <v>523</v>
      </c>
    </row>
    <row r="526" spans="2:10" hidden="1">
      <c r="B526" s="35">
        <v>5</v>
      </c>
      <c r="C526" s="31" t="s">
        <v>116</v>
      </c>
      <c r="D526" s="35" t="b">
        <v>1</v>
      </c>
      <c r="E526" s="34" t="s">
        <v>1075</v>
      </c>
      <c r="F526" s="31" t="s">
        <v>1076</v>
      </c>
      <c r="H526" s="40">
        <v>45722</v>
      </c>
      <c r="I526" s="31" t="str">
        <f t="shared" ca="1" si="16"/>
        <v>●</v>
      </c>
      <c r="J526" s="31">
        <f t="shared" si="17"/>
        <v>524</v>
      </c>
    </row>
    <row r="527" spans="2:10" hidden="1">
      <c r="B527" s="35">
        <v>5</v>
      </c>
      <c r="C527" s="31" t="s">
        <v>116</v>
      </c>
      <c r="D527" s="35" t="b">
        <v>1</v>
      </c>
      <c r="E527" s="34" t="s">
        <v>1077</v>
      </c>
      <c r="F527" s="31" t="s">
        <v>1078</v>
      </c>
      <c r="H527" s="40">
        <v>45722</v>
      </c>
      <c r="I527" s="31" t="str">
        <f t="shared" ca="1" si="16"/>
        <v>●</v>
      </c>
      <c r="J527" s="31">
        <f t="shared" si="17"/>
        <v>525</v>
      </c>
    </row>
    <row r="528" spans="2:10" hidden="1">
      <c r="B528" s="35">
        <v>5</v>
      </c>
      <c r="C528" s="31" t="s">
        <v>116</v>
      </c>
      <c r="D528" s="35" t="b">
        <v>1</v>
      </c>
      <c r="E528" s="34" t="s">
        <v>1079</v>
      </c>
      <c r="F528" s="31" t="s">
        <v>1080</v>
      </c>
      <c r="H528" s="40">
        <v>45722</v>
      </c>
      <c r="I528" s="31" t="str">
        <f t="shared" ca="1" si="16"/>
        <v>●</v>
      </c>
      <c r="J528" s="31">
        <f t="shared" si="17"/>
        <v>526</v>
      </c>
    </row>
    <row r="529" spans="2:10" hidden="1">
      <c r="B529" s="35">
        <v>5</v>
      </c>
      <c r="C529" s="31" t="s">
        <v>116</v>
      </c>
      <c r="D529" s="35" t="b">
        <v>1</v>
      </c>
      <c r="E529" s="34" t="s">
        <v>1081</v>
      </c>
      <c r="F529" s="31" t="s">
        <v>1082</v>
      </c>
      <c r="H529" s="40">
        <v>45722</v>
      </c>
      <c r="I529" s="31" t="str">
        <f t="shared" ca="1" si="16"/>
        <v>●</v>
      </c>
      <c r="J529" s="31">
        <f t="shared" si="17"/>
        <v>527</v>
      </c>
    </row>
    <row r="530" spans="2:10" hidden="1">
      <c r="B530" s="35">
        <v>5</v>
      </c>
      <c r="C530" s="31" t="s">
        <v>116</v>
      </c>
      <c r="D530" s="35" t="b">
        <v>1</v>
      </c>
      <c r="E530" s="34" t="s">
        <v>1083</v>
      </c>
      <c r="F530" s="31" t="s">
        <v>1084</v>
      </c>
      <c r="H530" s="40">
        <v>45722</v>
      </c>
      <c r="I530" s="31" t="str">
        <f t="shared" ref="I530:I593" ca="1" si="18">IF(H530-$G$1&lt;=0,"●","")</f>
        <v>●</v>
      </c>
      <c r="J530" s="31">
        <f t="shared" ref="J530:J593" si="19">ROW()-2</f>
        <v>528</v>
      </c>
    </row>
    <row r="531" spans="2:10" hidden="1">
      <c r="B531" s="35">
        <v>5</v>
      </c>
      <c r="C531" s="31" t="s">
        <v>116</v>
      </c>
      <c r="D531" s="35" t="b">
        <v>1</v>
      </c>
      <c r="E531" s="34" t="s">
        <v>1085</v>
      </c>
      <c r="F531" s="31" t="s">
        <v>1086</v>
      </c>
      <c r="H531" s="40">
        <v>45722</v>
      </c>
      <c r="I531" s="31" t="str">
        <f t="shared" ca="1" si="18"/>
        <v>●</v>
      </c>
      <c r="J531" s="31">
        <f t="shared" si="19"/>
        <v>529</v>
      </c>
    </row>
    <row r="532" spans="2:10" hidden="1">
      <c r="B532" s="35">
        <v>5</v>
      </c>
      <c r="C532" s="31" t="s">
        <v>116</v>
      </c>
      <c r="D532" s="35" t="b">
        <v>1</v>
      </c>
      <c r="E532" s="34" t="s">
        <v>1087</v>
      </c>
      <c r="F532" s="31" t="s">
        <v>1088</v>
      </c>
      <c r="H532" s="40">
        <v>45722</v>
      </c>
      <c r="I532" s="31" t="str">
        <f t="shared" ca="1" si="18"/>
        <v>●</v>
      </c>
      <c r="J532" s="31">
        <f t="shared" si="19"/>
        <v>530</v>
      </c>
    </row>
    <row r="533" spans="2:10" hidden="1">
      <c r="B533" s="35">
        <v>5</v>
      </c>
      <c r="C533" s="31" t="s">
        <v>116</v>
      </c>
      <c r="D533" s="35" t="b">
        <v>1</v>
      </c>
      <c r="E533" s="34" t="s">
        <v>1089</v>
      </c>
      <c r="F533" s="31" t="s">
        <v>1090</v>
      </c>
      <c r="H533" s="40">
        <v>45722</v>
      </c>
      <c r="I533" s="31" t="str">
        <f t="shared" ca="1" si="18"/>
        <v>●</v>
      </c>
      <c r="J533" s="31">
        <f t="shared" si="19"/>
        <v>531</v>
      </c>
    </row>
    <row r="534" spans="2:10" hidden="1">
      <c r="B534" s="35">
        <v>5</v>
      </c>
      <c r="C534" s="31" t="s">
        <v>116</v>
      </c>
      <c r="D534" s="35" t="b">
        <v>1</v>
      </c>
      <c r="E534" s="34" t="s">
        <v>1091</v>
      </c>
      <c r="F534" s="31" t="s">
        <v>1092</v>
      </c>
      <c r="H534" s="40">
        <v>45722</v>
      </c>
      <c r="I534" s="31" t="str">
        <f t="shared" ca="1" si="18"/>
        <v>●</v>
      </c>
      <c r="J534" s="31">
        <f t="shared" si="19"/>
        <v>532</v>
      </c>
    </row>
    <row r="535" spans="2:10" hidden="1">
      <c r="B535" s="35">
        <v>5</v>
      </c>
      <c r="C535" s="31" t="s">
        <v>116</v>
      </c>
      <c r="D535" s="35" t="b">
        <v>1</v>
      </c>
      <c r="E535" s="34" t="s">
        <v>1093</v>
      </c>
      <c r="F535" s="31" t="s">
        <v>1094</v>
      </c>
      <c r="H535" s="40">
        <v>45722</v>
      </c>
      <c r="I535" s="31" t="str">
        <f t="shared" ca="1" si="18"/>
        <v>●</v>
      </c>
      <c r="J535" s="31">
        <f t="shared" si="19"/>
        <v>533</v>
      </c>
    </row>
    <row r="536" spans="2:10" hidden="1">
      <c r="B536" s="35">
        <v>5</v>
      </c>
      <c r="C536" s="31" t="s">
        <v>116</v>
      </c>
      <c r="D536" s="35" t="b">
        <v>1</v>
      </c>
      <c r="E536" s="34" t="s">
        <v>1095</v>
      </c>
      <c r="F536" s="31" t="s">
        <v>1096</v>
      </c>
      <c r="H536" s="40">
        <v>45722</v>
      </c>
      <c r="I536" s="31" t="str">
        <f t="shared" ca="1" si="18"/>
        <v>●</v>
      </c>
      <c r="J536" s="31">
        <f t="shared" si="19"/>
        <v>534</v>
      </c>
    </row>
    <row r="537" spans="2:10" hidden="1">
      <c r="B537" s="35">
        <v>5</v>
      </c>
      <c r="C537" s="31" t="s">
        <v>116</v>
      </c>
      <c r="D537" s="35" t="b">
        <v>1</v>
      </c>
      <c r="E537" s="34" t="s">
        <v>1097</v>
      </c>
      <c r="F537" s="31" t="s">
        <v>1098</v>
      </c>
      <c r="H537" s="40">
        <v>45722</v>
      </c>
      <c r="I537" s="31" t="str">
        <f t="shared" ca="1" si="18"/>
        <v>●</v>
      </c>
      <c r="J537" s="31">
        <f t="shared" si="19"/>
        <v>535</v>
      </c>
    </row>
    <row r="538" spans="2:10" hidden="1">
      <c r="B538" s="35">
        <v>5</v>
      </c>
      <c r="C538" s="31" t="s">
        <v>116</v>
      </c>
      <c r="D538" s="35" t="b">
        <v>1</v>
      </c>
      <c r="E538" s="34" t="s">
        <v>1099</v>
      </c>
      <c r="F538" s="31" t="s">
        <v>1100</v>
      </c>
      <c r="H538" s="40">
        <v>45722</v>
      </c>
      <c r="I538" s="31" t="str">
        <f t="shared" ca="1" si="18"/>
        <v>●</v>
      </c>
      <c r="J538" s="31">
        <f t="shared" si="19"/>
        <v>536</v>
      </c>
    </row>
    <row r="539" spans="2:10" hidden="1">
      <c r="B539" s="35">
        <v>5</v>
      </c>
      <c r="C539" s="31" t="s">
        <v>116</v>
      </c>
      <c r="D539" s="35" t="b">
        <v>1</v>
      </c>
      <c r="E539" s="34" t="s">
        <v>1101</v>
      </c>
      <c r="F539" s="31" t="s">
        <v>1102</v>
      </c>
      <c r="H539" s="40">
        <v>45722</v>
      </c>
      <c r="I539" s="31" t="str">
        <f t="shared" ca="1" si="18"/>
        <v>●</v>
      </c>
      <c r="J539" s="31">
        <f t="shared" si="19"/>
        <v>537</v>
      </c>
    </row>
    <row r="540" spans="2:10" hidden="1">
      <c r="B540" s="35">
        <v>5</v>
      </c>
      <c r="C540" s="31" t="s">
        <v>116</v>
      </c>
      <c r="D540" s="35" t="b">
        <v>1</v>
      </c>
      <c r="E540" s="34" t="s">
        <v>1103</v>
      </c>
      <c r="F540" s="31" t="s">
        <v>1104</v>
      </c>
      <c r="H540" s="40">
        <v>45722</v>
      </c>
      <c r="I540" s="31" t="str">
        <f t="shared" ca="1" si="18"/>
        <v>●</v>
      </c>
      <c r="J540" s="31">
        <f t="shared" si="19"/>
        <v>538</v>
      </c>
    </row>
    <row r="541" spans="2:10" hidden="1">
      <c r="B541" s="35">
        <v>5</v>
      </c>
      <c r="C541" s="31" t="s">
        <v>116</v>
      </c>
      <c r="D541" s="35" t="b">
        <v>1</v>
      </c>
      <c r="E541" s="34" t="s">
        <v>1105</v>
      </c>
      <c r="F541" s="31" t="s">
        <v>1106</v>
      </c>
      <c r="H541" s="40">
        <v>45722</v>
      </c>
      <c r="I541" s="31" t="str">
        <f t="shared" ca="1" si="18"/>
        <v>●</v>
      </c>
      <c r="J541" s="31">
        <f t="shared" si="19"/>
        <v>539</v>
      </c>
    </row>
    <row r="542" spans="2:10" hidden="1">
      <c r="B542" s="35">
        <v>5</v>
      </c>
      <c r="C542" s="31" t="s">
        <v>116</v>
      </c>
      <c r="D542" s="35" t="b">
        <v>1</v>
      </c>
      <c r="E542" s="34" t="s">
        <v>1107</v>
      </c>
      <c r="F542" s="31" t="s">
        <v>1108</v>
      </c>
      <c r="H542" s="40">
        <v>45722</v>
      </c>
      <c r="I542" s="31" t="str">
        <f t="shared" ca="1" si="18"/>
        <v>●</v>
      </c>
      <c r="J542" s="31">
        <f t="shared" si="19"/>
        <v>540</v>
      </c>
    </row>
    <row r="543" spans="2:10" hidden="1">
      <c r="B543" s="35">
        <v>5</v>
      </c>
      <c r="C543" s="31" t="s">
        <v>116</v>
      </c>
      <c r="D543" s="35" t="b">
        <v>1</v>
      </c>
      <c r="E543" s="34" t="s">
        <v>1109</v>
      </c>
      <c r="F543" s="31" t="s">
        <v>1110</v>
      </c>
      <c r="H543" s="40">
        <v>45722</v>
      </c>
      <c r="I543" s="31" t="str">
        <f t="shared" ca="1" si="18"/>
        <v>●</v>
      </c>
      <c r="J543" s="31">
        <f t="shared" si="19"/>
        <v>541</v>
      </c>
    </row>
    <row r="544" spans="2:10" hidden="1">
      <c r="B544" s="35">
        <v>5</v>
      </c>
      <c r="C544" s="31" t="s">
        <v>116</v>
      </c>
      <c r="D544" s="35" t="b">
        <v>1</v>
      </c>
      <c r="E544" s="34" t="s">
        <v>1111</v>
      </c>
      <c r="F544" s="31" t="s">
        <v>1112</v>
      </c>
      <c r="H544" s="40">
        <v>45722</v>
      </c>
      <c r="I544" s="31" t="str">
        <f t="shared" ca="1" si="18"/>
        <v>●</v>
      </c>
      <c r="J544" s="31">
        <f t="shared" si="19"/>
        <v>542</v>
      </c>
    </row>
    <row r="545" spans="2:10" hidden="1">
      <c r="B545" s="35">
        <v>5</v>
      </c>
      <c r="C545" s="31" t="s">
        <v>116</v>
      </c>
      <c r="D545" s="35" t="b">
        <v>1</v>
      </c>
      <c r="E545" s="34" t="s">
        <v>1113</v>
      </c>
      <c r="F545" s="31" t="s">
        <v>1114</v>
      </c>
      <c r="H545" s="40">
        <v>45722</v>
      </c>
      <c r="I545" s="31" t="str">
        <f t="shared" ca="1" si="18"/>
        <v>●</v>
      </c>
      <c r="J545" s="31">
        <f t="shared" si="19"/>
        <v>543</v>
      </c>
    </row>
    <row r="546" spans="2:10" hidden="1">
      <c r="B546" s="35">
        <v>5</v>
      </c>
      <c r="C546" s="31" t="s">
        <v>116</v>
      </c>
      <c r="D546" s="35" t="b">
        <v>1</v>
      </c>
      <c r="E546" s="34" t="s">
        <v>1115</v>
      </c>
      <c r="F546" s="31" t="s">
        <v>1116</v>
      </c>
      <c r="H546" s="40">
        <v>45722</v>
      </c>
      <c r="I546" s="31" t="str">
        <f t="shared" ca="1" si="18"/>
        <v>●</v>
      </c>
      <c r="J546" s="31">
        <f t="shared" si="19"/>
        <v>544</v>
      </c>
    </row>
    <row r="547" spans="2:10" hidden="1">
      <c r="B547" s="35">
        <v>5</v>
      </c>
      <c r="C547" s="31" t="s">
        <v>116</v>
      </c>
      <c r="D547" s="35" t="b">
        <v>1</v>
      </c>
      <c r="E547" s="34" t="s">
        <v>1117</v>
      </c>
      <c r="F547" s="31" t="s">
        <v>1118</v>
      </c>
      <c r="H547" s="40">
        <v>45722</v>
      </c>
      <c r="I547" s="31" t="str">
        <f t="shared" ca="1" si="18"/>
        <v>●</v>
      </c>
      <c r="J547" s="31">
        <f t="shared" si="19"/>
        <v>545</v>
      </c>
    </row>
    <row r="548" spans="2:10" hidden="1">
      <c r="B548" s="35">
        <v>5</v>
      </c>
      <c r="C548" s="31" t="s">
        <v>116</v>
      </c>
      <c r="D548" s="35" t="b">
        <v>1</v>
      </c>
      <c r="E548" s="34" t="s">
        <v>1119</v>
      </c>
      <c r="F548" s="31" t="s">
        <v>1120</v>
      </c>
      <c r="H548" s="40">
        <v>45722</v>
      </c>
      <c r="I548" s="31" t="str">
        <f t="shared" ca="1" si="18"/>
        <v>●</v>
      </c>
      <c r="J548" s="31">
        <f t="shared" si="19"/>
        <v>546</v>
      </c>
    </row>
    <row r="549" spans="2:10" hidden="1">
      <c r="B549" s="35">
        <v>5</v>
      </c>
      <c r="C549" s="31" t="s">
        <v>116</v>
      </c>
      <c r="D549" s="35" t="b">
        <v>1</v>
      </c>
      <c r="E549" s="34" t="s">
        <v>1121</v>
      </c>
      <c r="F549" s="31" t="s">
        <v>1122</v>
      </c>
      <c r="H549" s="40">
        <v>45722</v>
      </c>
      <c r="I549" s="31" t="str">
        <f t="shared" ca="1" si="18"/>
        <v>●</v>
      </c>
      <c r="J549" s="31">
        <f t="shared" si="19"/>
        <v>547</v>
      </c>
    </row>
    <row r="550" spans="2:10" hidden="1">
      <c r="B550" s="35">
        <v>5</v>
      </c>
      <c r="C550" s="31" t="s">
        <v>116</v>
      </c>
      <c r="D550" s="35" t="b">
        <v>1</v>
      </c>
      <c r="E550" s="34" t="s">
        <v>1123</v>
      </c>
      <c r="F550" s="31" t="s">
        <v>1124</v>
      </c>
      <c r="H550" s="40">
        <v>45722</v>
      </c>
      <c r="I550" s="31" t="str">
        <f t="shared" ca="1" si="18"/>
        <v>●</v>
      </c>
      <c r="J550" s="31">
        <f t="shared" si="19"/>
        <v>548</v>
      </c>
    </row>
    <row r="551" spans="2:10" hidden="1">
      <c r="B551" s="35">
        <v>5</v>
      </c>
      <c r="C551" s="31" t="s">
        <v>116</v>
      </c>
      <c r="D551" s="35" t="b">
        <v>1</v>
      </c>
      <c r="E551" s="34" t="s">
        <v>1125</v>
      </c>
      <c r="F551" s="31" t="s">
        <v>1126</v>
      </c>
      <c r="H551" s="40">
        <v>45722</v>
      </c>
      <c r="I551" s="31" t="str">
        <f t="shared" ca="1" si="18"/>
        <v>●</v>
      </c>
      <c r="J551" s="31">
        <f t="shared" si="19"/>
        <v>549</v>
      </c>
    </row>
    <row r="552" spans="2:10" hidden="1">
      <c r="B552" s="35">
        <v>5</v>
      </c>
      <c r="C552" s="31" t="s">
        <v>116</v>
      </c>
      <c r="D552" s="35" t="b">
        <v>1</v>
      </c>
      <c r="E552" s="34" t="s">
        <v>1127</v>
      </c>
      <c r="F552" s="31" t="s">
        <v>1128</v>
      </c>
      <c r="H552" s="40">
        <v>45722</v>
      </c>
      <c r="I552" s="31" t="str">
        <f t="shared" ca="1" si="18"/>
        <v>●</v>
      </c>
      <c r="J552" s="31">
        <f t="shared" si="19"/>
        <v>550</v>
      </c>
    </row>
    <row r="553" spans="2:10" hidden="1">
      <c r="B553" s="35">
        <v>5</v>
      </c>
      <c r="C553" s="31" t="s">
        <v>116</v>
      </c>
      <c r="D553" s="35" t="b">
        <v>1</v>
      </c>
      <c r="E553" s="34" t="s">
        <v>1129</v>
      </c>
      <c r="F553" s="31" t="s">
        <v>1130</v>
      </c>
      <c r="H553" s="40">
        <v>45722</v>
      </c>
      <c r="I553" s="31" t="str">
        <f t="shared" ca="1" si="18"/>
        <v>●</v>
      </c>
      <c r="J553" s="31">
        <f t="shared" si="19"/>
        <v>551</v>
      </c>
    </row>
    <row r="554" spans="2:10" hidden="1">
      <c r="B554" s="35">
        <v>5</v>
      </c>
      <c r="C554" s="31" t="s">
        <v>116</v>
      </c>
      <c r="D554" s="35" t="b">
        <v>1</v>
      </c>
      <c r="E554" s="34" t="s">
        <v>1131</v>
      </c>
      <c r="F554" s="31" t="s">
        <v>1132</v>
      </c>
      <c r="H554" s="40">
        <v>45722</v>
      </c>
      <c r="I554" s="31" t="str">
        <f t="shared" ca="1" si="18"/>
        <v>●</v>
      </c>
      <c r="J554" s="31">
        <f t="shared" si="19"/>
        <v>552</v>
      </c>
    </row>
    <row r="555" spans="2:10" hidden="1">
      <c r="B555" s="35">
        <v>5</v>
      </c>
      <c r="C555" s="31" t="s">
        <v>116</v>
      </c>
      <c r="D555" s="35" t="b">
        <v>1</v>
      </c>
      <c r="E555" s="34" t="s">
        <v>1133</v>
      </c>
      <c r="F555" s="31" t="s">
        <v>1134</v>
      </c>
      <c r="H555" s="40">
        <v>45722</v>
      </c>
      <c r="I555" s="31" t="str">
        <f t="shared" ca="1" si="18"/>
        <v>●</v>
      </c>
      <c r="J555" s="31">
        <f t="shared" si="19"/>
        <v>553</v>
      </c>
    </row>
    <row r="556" spans="2:10" hidden="1">
      <c r="B556" s="35">
        <v>5</v>
      </c>
      <c r="C556" s="31" t="s">
        <v>116</v>
      </c>
      <c r="D556" s="35" t="b">
        <v>1</v>
      </c>
      <c r="E556" s="34" t="s">
        <v>1135</v>
      </c>
      <c r="F556" s="31" t="s">
        <v>1136</v>
      </c>
      <c r="H556" s="40">
        <v>45722</v>
      </c>
      <c r="I556" s="31" t="str">
        <f t="shared" ca="1" si="18"/>
        <v>●</v>
      </c>
      <c r="J556" s="31">
        <f t="shared" si="19"/>
        <v>554</v>
      </c>
    </row>
    <row r="557" spans="2:10" hidden="1">
      <c r="B557" s="35">
        <v>5</v>
      </c>
      <c r="C557" s="31" t="s">
        <v>116</v>
      </c>
      <c r="D557" s="35" t="b">
        <v>1</v>
      </c>
      <c r="E557" s="34" t="s">
        <v>1137</v>
      </c>
      <c r="F557" s="31" t="s">
        <v>1138</v>
      </c>
      <c r="H557" s="40">
        <v>45722</v>
      </c>
      <c r="I557" s="31" t="str">
        <f t="shared" ca="1" si="18"/>
        <v>●</v>
      </c>
      <c r="J557" s="31">
        <f t="shared" si="19"/>
        <v>555</v>
      </c>
    </row>
    <row r="558" spans="2:10" hidden="1">
      <c r="B558" s="35">
        <v>5</v>
      </c>
      <c r="C558" s="31" t="s">
        <v>116</v>
      </c>
      <c r="D558" s="35" t="b">
        <v>1</v>
      </c>
      <c r="E558" s="34" t="s">
        <v>1139</v>
      </c>
      <c r="F558" s="31" t="s">
        <v>1140</v>
      </c>
      <c r="H558" s="40">
        <v>45722</v>
      </c>
      <c r="I558" s="31" t="str">
        <f t="shared" ca="1" si="18"/>
        <v>●</v>
      </c>
      <c r="J558" s="31">
        <f t="shared" si="19"/>
        <v>556</v>
      </c>
    </row>
    <row r="559" spans="2:10" hidden="1">
      <c r="B559" s="35">
        <v>5</v>
      </c>
      <c r="C559" s="31" t="s">
        <v>116</v>
      </c>
      <c r="D559" s="35" t="b">
        <v>1</v>
      </c>
      <c r="E559" s="34" t="s">
        <v>1141</v>
      </c>
      <c r="F559" s="31" t="s">
        <v>1142</v>
      </c>
      <c r="H559" s="40">
        <v>45722</v>
      </c>
      <c r="I559" s="31" t="str">
        <f t="shared" ca="1" si="18"/>
        <v>●</v>
      </c>
      <c r="J559" s="31">
        <f t="shared" si="19"/>
        <v>557</v>
      </c>
    </row>
    <row r="560" spans="2:10" hidden="1">
      <c r="B560" s="35">
        <v>5</v>
      </c>
      <c r="C560" s="31" t="s">
        <v>116</v>
      </c>
      <c r="D560" s="35" t="b">
        <v>0</v>
      </c>
      <c r="E560" s="34" t="s">
        <v>1143</v>
      </c>
      <c r="F560" s="31" t="s">
        <v>1144</v>
      </c>
      <c r="H560" s="40">
        <v>45722</v>
      </c>
      <c r="I560" s="31" t="str">
        <f t="shared" ca="1" si="18"/>
        <v>●</v>
      </c>
      <c r="J560" s="31">
        <f t="shared" si="19"/>
        <v>558</v>
      </c>
    </row>
    <row r="561" spans="2:10" hidden="1">
      <c r="B561" s="35">
        <v>5</v>
      </c>
      <c r="C561" s="31" t="s">
        <v>116</v>
      </c>
      <c r="D561" s="35" t="b">
        <v>1</v>
      </c>
      <c r="E561" s="34" t="s">
        <v>1145</v>
      </c>
      <c r="F561" s="31" t="s">
        <v>1146</v>
      </c>
      <c r="H561" s="40">
        <v>45722</v>
      </c>
      <c r="I561" s="31" t="str">
        <f t="shared" ca="1" si="18"/>
        <v>●</v>
      </c>
      <c r="J561" s="31">
        <f t="shared" si="19"/>
        <v>559</v>
      </c>
    </row>
    <row r="562" spans="2:10" hidden="1">
      <c r="B562" s="35">
        <v>5</v>
      </c>
      <c r="C562" s="31" t="s">
        <v>116</v>
      </c>
      <c r="D562" s="35" t="b">
        <v>1</v>
      </c>
      <c r="E562" s="34" t="s">
        <v>1147</v>
      </c>
      <c r="F562" s="31" t="s">
        <v>1148</v>
      </c>
      <c r="H562" s="40">
        <v>45722</v>
      </c>
      <c r="I562" s="31" t="str">
        <f t="shared" ca="1" si="18"/>
        <v>●</v>
      </c>
      <c r="J562" s="31">
        <f t="shared" si="19"/>
        <v>560</v>
      </c>
    </row>
    <row r="563" spans="2:10" hidden="1">
      <c r="B563" s="35">
        <v>5</v>
      </c>
      <c r="C563" s="31" t="s">
        <v>116</v>
      </c>
      <c r="D563" s="35" t="b">
        <v>1</v>
      </c>
      <c r="E563" s="34" t="s">
        <v>1149</v>
      </c>
      <c r="F563" s="31" t="s">
        <v>1150</v>
      </c>
      <c r="H563" s="40">
        <v>45722</v>
      </c>
      <c r="I563" s="31" t="str">
        <f t="shared" ca="1" si="18"/>
        <v>●</v>
      </c>
      <c r="J563" s="31">
        <f t="shared" si="19"/>
        <v>561</v>
      </c>
    </row>
    <row r="564" spans="2:10" hidden="1">
      <c r="B564" s="35">
        <v>5</v>
      </c>
      <c r="C564" s="31" t="s">
        <v>116</v>
      </c>
      <c r="D564" s="35" t="b">
        <v>1</v>
      </c>
      <c r="E564" s="34" t="s">
        <v>1151</v>
      </c>
      <c r="F564" s="31" t="s">
        <v>1152</v>
      </c>
      <c r="H564" s="40">
        <v>45722</v>
      </c>
      <c r="I564" s="31" t="str">
        <f t="shared" ca="1" si="18"/>
        <v>●</v>
      </c>
      <c r="J564" s="31">
        <f t="shared" si="19"/>
        <v>562</v>
      </c>
    </row>
    <row r="565" spans="2:10" hidden="1">
      <c r="B565" s="35">
        <v>5</v>
      </c>
      <c r="C565" s="31" t="s">
        <v>116</v>
      </c>
      <c r="D565" s="35" t="b">
        <v>1</v>
      </c>
      <c r="E565" s="34" t="s">
        <v>1153</v>
      </c>
      <c r="F565" s="31" t="s">
        <v>1154</v>
      </c>
      <c r="H565" s="40">
        <v>45722</v>
      </c>
      <c r="I565" s="31" t="str">
        <f t="shared" ca="1" si="18"/>
        <v>●</v>
      </c>
      <c r="J565" s="31">
        <f t="shared" si="19"/>
        <v>563</v>
      </c>
    </row>
    <row r="566" spans="2:10" hidden="1">
      <c r="B566" s="35">
        <v>5</v>
      </c>
      <c r="C566" s="31" t="s">
        <v>116</v>
      </c>
      <c r="D566" s="35" t="b">
        <v>0</v>
      </c>
      <c r="E566" s="34" t="s">
        <v>1155</v>
      </c>
      <c r="F566" s="31" t="s">
        <v>1156</v>
      </c>
      <c r="H566" s="40">
        <v>45722</v>
      </c>
      <c r="I566" s="31" t="str">
        <f t="shared" ca="1" si="18"/>
        <v>●</v>
      </c>
      <c r="J566" s="31">
        <f t="shared" si="19"/>
        <v>564</v>
      </c>
    </row>
    <row r="567" spans="2:10" hidden="1">
      <c r="B567" s="35">
        <v>5</v>
      </c>
      <c r="C567" s="31" t="s">
        <v>116</v>
      </c>
      <c r="D567" s="35" t="b">
        <v>1</v>
      </c>
      <c r="E567" s="34" t="s">
        <v>1157</v>
      </c>
      <c r="F567" s="31" t="s">
        <v>1158</v>
      </c>
      <c r="H567" s="40">
        <v>45722</v>
      </c>
      <c r="I567" s="31" t="str">
        <f t="shared" ca="1" si="18"/>
        <v>●</v>
      </c>
      <c r="J567" s="31">
        <f t="shared" si="19"/>
        <v>565</v>
      </c>
    </row>
    <row r="568" spans="2:10" hidden="1">
      <c r="B568" s="35">
        <v>5</v>
      </c>
      <c r="C568" s="31" t="s">
        <v>116</v>
      </c>
      <c r="D568" s="35" t="b">
        <v>1</v>
      </c>
      <c r="E568" s="34" t="s">
        <v>1159</v>
      </c>
      <c r="F568" s="31" t="s">
        <v>1160</v>
      </c>
      <c r="H568" s="40">
        <v>45722</v>
      </c>
      <c r="I568" s="31" t="str">
        <f t="shared" ca="1" si="18"/>
        <v>●</v>
      </c>
      <c r="J568" s="31">
        <f t="shared" si="19"/>
        <v>566</v>
      </c>
    </row>
    <row r="569" spans="2:10" hidden="1">
      <c r="B569" s="35">
        <v>5</v>
      </c>
      <c r="C569" s="31" t="s">
        <v>116</v>
      </c>
      <c r="D569" s="35" t="b">
        <v>1</v>
      </c>
      <c r="E569" s="34" t="s">
        <v>1161</v>
      </c>
      <c r="F569" s="31" t="s">
        <v>1162</v>
      </c>
      <c r="H569" s="40">
        <v>45722</v>
      </c>
      <c r="I569" s="31" t="str">
        <f t="shared" ca="1" si="18"/>
        <v>●</v>
      </c>
      <c r="J569" s="31">
        <f t="shared" si="19"/>
        <v>567</v>
      </c>
    </row>
    <row r="570" spans="2:10" hidden="1">
      <c r="B570" s="35">
        <v>5</v>
      </c>
      <c r="C570" s="31" t="s">
        <v>116</v>
      </c>
      <c r="D570" s="35" t="b">
        <v>1</v>
      </c>
      <c r="E570" s="34" t="s">
        <v>1163</v>
      </c>
      <c r="F570" s="31" t="s">
        <v>1164</v>
      </c>
      <c r="H570" s="40">
        <v>45722</v>
      </c>
      <c r="I570" s="31" t="str">
        <f t="shared" ca="1" si="18"/>
        <v>●</v>
      </c>
      <c r="J570" s="31">
        <f t="shared" si="19"/>
        <v>568</v>
      </c>
    </row>
    <row r="571" spans="2:10" hidden="1">
      <c r="B571" s="35">
        <v>5</v>
      </c>
      <c r="C571" s="31" t="s">
        <v>116</v>
      </c>
      <c r="D571" s="35" t="b">
        <v>1</v>
      </c>
      <c r="E571" s="34" t="s">
        <v>1165</v>
      </c>
      <c r="F571" s="31" t="s">
        <v>1166</v>
      </c>
      <c r="H571" s="40">
        <v>45722</v>
      </c>
      <c r="I571" s="31" t="str">
        <f t="shared" ca="1" si="18"/>
        <v>●</v>
      </c>
      <c r="J571" s="31">
        <f t="shared" si="19"/>
        <v>569</v>
      </c>
    </row>
    <row r="572" spans="2:10" hidden="1">
      <c r="B572" s="35">
        <v>5</v>
      </c>
      <c r="C572" s="31" t="s">
        <v>116</v>
      </c>
      <c r="D572" s="35" t="b">
        <v>1</v>
      </c>
      <c r="E572" s="34" t="s">
        <v>1167</v>
      </c>
      <c r="F572" s="31" t="s">
        <v>1168</v>
      </c>
      <c r="H572" s="40">
        <v>45722</v>
      </c>
      <c r="I572" s="31" t="str">
        <f t="shared" ca="1" si="18"/>
        <v>●</v>
      </c>
      <c r="J572" s="31">
        <f t="shared" si="19"/>
        <v>570</v>
      </c>
    </row>
    <row r="573" spans="2:10" hidden="1">
      <c r="B573" s="35">
        <v>5</v>
      </c>
      <c r="C573" s="35" t="s">
        <v>116</v>
      </c>
      <c r="D573" s="35" t="b">
        <v>1</v>
      </c>
      <c r="E573" s="34" t="s">
        <v>1169</v>
      </c>
      <c r="F573" s="35" t="s">
        <v>1170</v>
      </c>
      <c r="G573" s="35"/>
      <c r="H573" s="40">
        <v>45722</v>
      </c>
      <c r="I573" s="31" t="str">
        <f t="shared" ca="1" si="18"/>
        <v>●</v>
      </c>
      <c r="J573" s="31">
        <f t="shared" si="19"/>
        <v>571</v>
      </c>
    </row>
    <row r="574" spans="2:10" hidden="1">
      <c r="B574" s="35">
        <v>5</v>
      </c>
      <c r="C574" s="35" t="s">
        <v>116</v>
      </c>
      <c r="D574" s="35" t="b">
        <v>1</v>
      </c>
      <c r="E574" s="34" t="s">
        <v>1171</v>
      </c>
      <c r="F574" s="35" t="s">
        <v>1172</v>
      </c>
      <c r="G574" s="35"/>
      <c r="H574" s="40">
        <v>45722</v>
      </c>
      <c r="I574" s="31" t="str">
        <f t="shared" ca="1" si="18"/>
        <v>●</v>
      </c>
      <c r="J574" s="31">
        <f t="shared" si="19"/>
        <v>572</v>
      </c>
    </row>
    <row r="575" spans="2:10" hidden="1">
      <c r="B575" s="35">
        <v>5</v>
      </c>
      <c r="C575" s="35" t="s">
        <v>116</v>
      </c>
      <c r="D575" s="35" t="b">
        <v>1</v>
      </c>
      <c r="E575" s="34" t="s">
        <v>1173</v>
      </c>
      <c r="F575" s="35" t="s">
        <v>1174</v>
      </c>
      <c r="G575" s="35"/>
      <c r="H575" s="40">
        <v>45722</v>
      </c>
      <c r="I575" s="31" t="str">
        <f t="shared" ca="1" si="18"/>
        <v>●</v>
      </c>
      <c r="J575" s="31">
        <f t="shared" si="19"/>
        <v>573</v>
      </c>
    </row>
    <row r="576" spans="2:10" hidden="1">
      <c r="B576" s="35">
        <v>5</v>
      </c>
      <c r="C576" s="35" t="s">
        <v>116</v>
      </c>
      <c r="D576" s="35" t="b">
        <v>1</v>
      </c>
      <c r="E576" s="34" t="s">
        <v>1175</v>
      </c>
      <c r="F576" s="35" t="s">
        <v>1176</v>
      </c>
      <c r="G576" s="35"/>
      <c r="H576" s="40">
        <v>45722</v>
      </c>
      <c r="I576" s="31" t="str">
        <f t="shared" ca="1" si="18"/>
        <v>●</v>
      </c>
      <c r="J576" s="31">
        <f t="shared" si="19"/>
        <v>574</v>
      </c>
    </row>
    <row r="577" spans="2:10" hidden="1">
      <c r="B577" s="35">
        <v>5</v>
      </c>
      <c r="C577" s="35" t="s">
        <v>116</v>
      </c>
      <c r="D577" s="35" t="b">
        <v>0</v>
      </c>
      <c r="E577" s="34" t="s">
        <v>1177</v>
      </c>
      <c r="F577" s="35" t="s">
        <v>1178</v>
      </c>
      <c r="G577" s="35"/>
      <c r="H577" s="40">
        <v>45722</v>
      </c>
      <c r="I577" s="31" t="str">
        <f t="shared" ca="1" si="18"/>
        <v>●</v>
      </c>
      <c r="J577" s="31">
        <f t="shared" si="19"/>
        <v>575</v>
      </c>
    </row>
    <row r="578" spans="2:10" hidden="1">
      <c r="B578" s="35">
        <v>5</v>
      </c>
      <c r="C578" s="35" t="s">
        <v>116</v>
      </c>
      <c r="D578" s="35" t="b">
        <v>1</v>
      </c>
      <c r="E578" s="34" t="s">
        <v>1179</v>
      </c>
      <c r="F578" s="35" t="s">
        <v>1180</v>
      </c>
      <c r="G578" s="35"/>
      <c r="H578" s="40">
        <v>45722</v>
      </c>
      <c r="I578" s="31" t="str">
        <f t="shared" ca="1" si="18"/>
        <v>●</v>
      </c>
      <c r="J578" s="31">
        <f t="shared" si="19"/>
        <v>576</v>
      </c>
    </row>
    <row r="579" spans="2:10" hidden="1">
      <c r="B579" s="35">
        <v>5</v>
      </c>
      <c r="C579" s="35" t="s">
        <v>116</v>
      </c>
      <c r="D579" s="35" t="b">
        <v>1</v>
      </c>
      <c r="E579" s="34" t="s">
        <v>1181</v>
      </c>
      <c r="F579" s="35" t="s">
        <v>1182</v>
      </c>
      <c r="G579" s="35"/>
      <c r="H579" s="40">
        <v>45722</v>
      </c>
      <c r="I579" s="31" t="str">
        <f t="shared" ca="1" si="18"/>
        <v>●</v>
      </c>
      <c r="J579" s="31">
        <f t="shared" si="19"/>
        <v>577</v>
      </c>
    </row>
    <row r="580" spans="2:10" hidden="1">
      <c r="B580" s="35">
        <v>5</v>
      </c>
      <c r="C580" s="35" t="s">
        <v>116</v>
      </c>
      <c r="D580" s="35" t="b">
        <v>0</v>
      </c>
      <c r="E580" s="34" t="s">
        <v>1183</v>
      </c>
      <c r="F580" s="35" t="s">
        <v>1184</v>
      </c>
      <c r="G580" s="35"/>
      <c r="H580" s="40">
        <v>45722</v>
      </c>
      <c r="I580" s="31" t="str">
        <f t="shared" ca="1" si="18"/>
        <v>●</v>
      </c>
      <c r="J580" s="31">
        <f t="shared" si="19"/>
        <v>578</v>
      </c>
    </row>
    <row r="581" spans="2:10" hidden="1">
      <c r="B581" s="35">
        <v>5</v>
      </c>
      <c r="C581" s="35" t="s">
        <v>116</v>
      </c>
      <c r="D581" s="35" t="b">
        <v>1</v>
      </c>
      <c r="E581" s="34" t="s">
        <v>1185</v>
      </c>
      <c r="F581" s="35" t="s">
        <v>1186</v>
      </c>
      <c r="G581" s="35"/>
      <c r="H581" s="40">
        <v>45722</v>
      </c>
      <c r="I581" s="31" t="str">
        <f t="shared" ca="1" si="18"/>
        <v>●</v>
      </c>
      <c r="J581" s="31">
        <f t="shared" si="19"/>
        <v>579</v>
      </c>
    </row>
    <row r="582" spans="2:10" hidden="1">
      <c r="B582" s="35">
        <v>5</v>
      </c>
      <c r="C582" s="35" t="s">
        <v>116</v>
      </c>
      <c r="D582" s="35" t="b">
        <v>0</v>
      </c>
      <c r="E582" s="34" t="s">
        <v>1187</v>
      </c>
      <c r="F582" s="35" t="s">
        <v>1188</v>
      </c>
      <c r="G582" s="35"/>
      <c r="H582" s="40">
        <v>45722</v>
      </c>
      <c r="I582" s="31" t="str">
        <f t="shared" ca="1" si="18"/>
        <v>●</v>
      </c>
      <c r="J582" s="31">
        <f t="shared" si="19"/>
        <v>580</v>
      </c>
    </row>
    <row r="583" spans="2:10" hidden="1">
      <c r="B583" s="35">
        <v>4</v>
      </c>
      <c r="C583" s="31" t="s">
        <v>116</v>
      </c>
      <c r="D583" s="35" t="b">
        <v>1</v>
      </c>
      <c r="E583" s="34" t="s">
        <v>1189</v>
      </c>
      <c r="F583" s="31" t="s">
        <v>1190</v>
      </c>
      <c r="H583" s="40">
        <v>45723</v>
      </c>
      <c r="I583" s="31" t="str">
        <f t="shared" ca="1" si="18"/>
        <v>●</v>
      </c>
      <c r="J583" s="31">
        <f t="shared" si="19"/>
        <v>581</v>
      </c>
    </row>
    <row r="584" spans="2:10" hidden="1">
      <c r="B584" s="35">
        <v>4</v>
      </c>
      <c r="C584" s="31" t="s">
        <v>116</v>
      </c>
      <c r="D584" s="35" t="b">
        <v>0</v>
      </c>
      <c r="E584" s="34" t="s">
        <v>1191</v>
      </c>
      <c r="F584" s="31" t="s">
        <v>1192</v>
      </c>
      <c r="H584" s="40">
        <v>45723</v>
      </c>
      <c r="I584" s="31" t="str">
        <f t="shared" ca="1" si="18"/>
        <v>●</v>
      </c>
      <c r="J584" s="31">
        <f t="shared" si="19"/>
        <v>582</v>
      </c>
    </row>
    <row r="585" spans="2:10" hidden="1">
      <c r="B585" s="35">
        <v>4</v>
      </c>
      <c r="C585" s="31" t="s">
        <v>116</v>
      </c>
      <c r="D585" s="35" t="b">
        <v>1</v>
      </c>
      <c r="E585" s="34" t="s">
        <v>1193</v>
      </c>
      <c r="F585" s="31" t="s">
        <v>1194</v>
      </c>
      <c r="H585" s="40">
        <v>45723</v>
      </c>
      <c r="I585" s="31" t="str">
        <f t="shared" ca="1" si="18"/>
        <v>●</v>
      </c>
      <c r="J585" s="31">
        <f t="shared" si="19"/>
        <v>583</v>
      </c>
    </row>
    <row r="586" spans="2:10" hidden="1">
      <c r="B586" s="35">
        <v>4</v>
      </c>
      <c r="C586" s="31" t="s">
        <v>116</v>
      </c>
      <c r="D586" s="35" t="b">
        <v>1</v>
      </c>
      <c r="E586" s="34" t="s">
        <v>1195</v>
      </c>
      <c r="F586" s="31" t="s">
        <v>1196</v>
      </c>
      <c r="H586" s="40">
        <v>45723</v>
      </c>
      <c r="I586" s="31" t="str">
        <f t="shared" ca="1" si="18"/>
        <v>●</v>
      </c>
      <c r="J586" s="31">
        <f t="shared" si="19"/>
        <v>584</v>
      </c>
    </row>
    <row r="587" spans="2:10" hidden="1">
      <c r="B587" s="35">
        <v>4</v>
      </c>
      <c r="C587" s="31" t="s">
        <v>116</v>
      </c>
      <c r="D587" s="35" t="b">
        <v>1</v>
      </c>
      <c r="E587" s="34" t="s">
        <v>1197</v>
      </c>
      <c r="F587" s="31" t="s">
        <v>1198</v>
      </c>
      <c r="H587" s="40">
        <v>45723</v>
      </c>
      <c r="I587" s="31" t="str">
        <f t="shared" ca="1" si="18"/>
        <v>●</v>
      </c>
      <c r="J587" s="31">
        <f t="shared" si="19"/>
        <v>585</v>
      </c>
    </row>
    <row r="588" spans="2:10" hidden="1">
      <c r="B588" s="31">
        <v>4</v>
      </c>
      <c r="C588" s="31" t="s">
        <v>116</v>
      </c>
      <c r="D588" s="35" t="b">
        <v>1</v>
      </c>
      <c r="E588" s="34" t="s">
        <v>1199</v>
      </c>
      <c r="F588" s="31" t="s">
        <v>1200</v>
      </c>
      <c r="H588" s="40">
        <v>45723</v>
      </c>
      <c r="I588" s="31" t="str">
        <f t="shared" ca="1" si="18"/>
        <v>●</v>
      </c>
      <c r="J588" s="31">
        <f t="shared" si="19"/>
        <v>586</v>
      </c>
    </row>
    <row r="589" spans="2:10" hidden="1">
      <c r="B589" s="35">
        <v>4</v>
      </c>
      <c r="C589" s="31" t="s">
        <v>116</v>
      </c>
      <c r="D589" s="35" t="b">
        <v>1</v>
      </c>
      <c r="E589" s="34" t="s">
        <v>1201</v>
      </c>
      <c r="F589" s="31" t="s">
        <v>1202</v>
      </c>
      <c r="H589" s="40">
        <v>45723</v>
      </c>
      <c r="I589" s="31" t="str">
        <f t="shared" ca="1" si="18"/>
        <v>●</v>
      </c>
      <c r="J589" s="31">
        <f t="shared" si="19"/>
        <v>587</v>
      </c>
    </row>
    <row r="590" spans="2:10" hidden="1">
      <c r="B590" s="35">
        <v>4</v>
      </c>
      <c r="C590" s="31" t="s">
        <v>116</v>
      </c>
      <c r="D590" s="35" t="b">
        <v>1</v>
      </c>
      <c r="E590" s="34" t="s">
        <v>1203</v>
      </c>
      <c r="F590" s="31" t="s">
        <v>1204</v>
      </c>
      <c r="H590" s="40">
        <v>45723</v>
      </c>
      <c r="I590" s="31" t="str">
        <f t="shared" ca="1" si="18"/>
        <v>●</v>
      </c>
      <c r="J590" s="31">
        <f t="shared" si="19"/>
        <v>588</v>
      </c>
    </row>
    <row r="591" spans="2:10" hidden="1">
      <c r="B591" s="35">
        <v>4</v>
      </c>
      <c r="C591" s="31" t="s">
        <v>116</v>
      </c>
      <c r="D591" s="35" t="b">
        <v>0</v>
      </c>
      <c r="E591" s="34" t="s">
        <v>1205</v>
      </c>
      <c r="F591" s="31" t="s">
        <v>1206</v>
      </c>
      <c r="H591" s="40">
        <v>45723</v>
      </c>
      <c r="I591" s="31" t="str">
        <f t="shared" ca="1" si="18"/>
        <v>●</v>
      </c>
      <c r="J591" s="31">
        <f t="shared" si="19"/>
        <v>589</v>
      </c>
    </row>
    <row r="592" spans="2:10" hidden="1">
      <c r="B592" s="35">
        <v>4</v>
      </c>
      <c r="C592" s="31" t="s">
        <v>116</v>
      </c>
      <c r="D592" s="35" t="b">
        <v>0</v>
      </c>
      <c r="E592" s="34" t="s">
        <v>1207</v>
      </c>
      <c r="F592" s="31" t="s">
        <v>1208</v>
      </c>
      <c r="H592" s="40">
        <v>45723</v>
      </c>
      <c r="I592" s="31" t="str">
        <f t="shared" ca="1" si="18"/>
        <v>●</v>
      </c>
      <c r="J592" s="31">
        <f t="shared" si="19"/>
        <v>590</v>
      </c>
    </row>
    <row r="593" spans="2:10" hidden="1">
      <c r="B593" s="35">
        <v>4</v>
      </c>
      <c r="C593" s="31" t="s">
        <v>116</v>
      </c>
      <c r="D593" s="35" t="b">
        <v>1</v>
      </c>
      <c r="E593" s="34" t="s">
        <v>1209</v>
      </c>
      <c r="F593" s="31" t="s">
        <v>1210</v>
      </c>
      <c r="H593" s="40">
        <v>45723</v>
      </c>
      <c r="I593" s="31" t="str">
        <f t="shared" ca="1" si="18"/>
        <v>●</v>
      </c>
      <c r="J593" s="31">
        <f t="shared" si="19"/>
        <v>591</v>
      </c>
    </row>
    <row r="594" spans="2:10" hidden="1">
      <c r="B594" s="35">
        <v>4</v>
      </c>
      <c r="C594" s="31" t="s">
        <v>116</v>
      </c>
      <c r="D594" s="35" t="b">
        <v>1</v>
      </c>
      <c r="E594" s="34" t="s">
        <v>1211</v>
      </c>
      <c r="F594" s="31" t="s">
        <v>1212</v>
      </c>
      <c r="H594" s="40">
        <v>45723</v>
      </c>
      <c r="I594" s="31" t="str">
        <f t="shared" ref="I594:I657" ca="1" si="20">IF(H594-$G$1&lt;=0,"●","")</f>
        <v>●</v>
      </c>
      <c r="J594" s="31">
        <f t="shared" ref="J594:J657" si="21">ROW()-2</f>
        <v>592</v>
      </c>
    </row>
    <row r="595" spans="2:10" hidden="1">
      <c r="B595" s="35">
        <v>4</v>
      </c>
      <c r="C595" s="31" t="s">
        <v>116</v>
      </c>
      <c r="D595" s="35" t="b">
        <v>1</v>
      </c>
      <c r="E595" s="34" t="s">
        <v>1213</v>
      </c>
      <c r="F595" s="31" t="s">
        <v>1214</v>
      </c>
      <c r="H595" s="40">
        <v>45723</v>
      </c>
      <c r="I595" s="31" t="str">
        <f t="shared" ca="1" si="20"/>
        <v>●</v>
      </c>
      <c r="J595" s="31">
        <f t="shared" si="21"/>
        <v>593</v>
      </c>
    </row>
    <row r="596" spans="2:10" hidden="1">
      <c r="B596" s="35">
        <v>4</v>
      </c>
      <c r="C596" s="31" t="s">
        <v>116</v>
      </c>
      <c r="D596" s="35" t="b">
        <v>1</v>
      </c>
      <c r="E596" s="34" t="s">
        <v>1215</v>
      </c>
      <c r="F596" s="31" t="s">
        <v>1216</v>
      </c>
      <c r="H596" s="40">
        <v>45723</v>
      </c>
      <c r="I596" s="31" t="str">
        <f t="shared" ca="1" si="20"/>
        <v>●</v>
      </c>
      <c r="J596" s="31">
        <f t="shared" si="21"/>
        <v>594</v>
      </c>
    </row>
    <row r="597" spans="2:10" hidden="1">
      <c r="B597" s="35">
        <v>4</v>
      </c>
      <c r="C597" s="31" t="s">
        <v>116</v>
      </c>
      <c r="D597" s="35" t="b">
        <v>1</v>
      </c>
      <c r="E597" s="34" t="s">
        <v>1217</v>
      </c>
      <c r="F597" s="31" t="s">
        <v>1218</v>
      </c>
      <c r="H597" s="40">
        <v>45723</v>
      </c>
      <c r="I597" s="31" t="str">
        <f t="shared" ca="1" si="20"/>
        <v>●</v>
      </c>
      <c r="J597" s="31">
        <f t="shared" si="21"/>
        <v>595</v>
      </c>
    </row>
    <row r="598" spans="2:10" hidden="1">
      <c r="B598" s="35">
        <v>4</v>
      </c>
      <c r="C598" s="31" t="s">
        <v>116</v>
      </c>
      <c r="D598" s="35" t="b">
        <v>1</v>
      </c>
      <c r="E598" s="34" t="s">
        <v>1219</v>
      </c>
      <c r="F598" s="31" t="s">
        <v>1220</v>
      </c>
      <c r="H598" s="40">
        <v>45723</v>
      </c>
      <c r="I598" s="31" t="str">
        <f t="shared" ca="1" si="20"/>
        <v>●</v>
      </c>
      <c r="J598" s="31">
        <f t="shared" si="21"/>
        <v>596</v>
      </c>
    </row>
    <row r="599" spans="2:10" hidden="1">
      <c r="B599" s="35">
        <v>4</v>
      </c>
      <c r="C599" s="31" t="s">
        <v>116</v>
      </c>
      <c r="D599" s="35" t="b">
        <v>1</v>
      </c>
      <c r="E599" s="34" t="s">
        <v>1221</v>
      </c>
      <c r="F599" s="31" t="s">
        <v>1222</v>
      </c>
      <c r="H599" s="40">
        <v>45723</v>
      </c>
      <c r="I599" s="31" t="str">
        <f t="shared" ca="1" si="20"/>
        <v>●</v>
      </c>
      <c r="J599" s="31">
        <f t="shared" si="21"/>
        <v>597</v>
      </c>
    </row>
    <row r="600" spans="2:10" hidden="1">
      <c r="B600" s="35">
        <v>4</v>
      </c>
      <c r="C600" s="31" t="s">
        <v>116</v>
      </c>
      <c r="D600" s="35" t="b">
        <v>1</v>
      </c>
      <c r="E600" s="34" t="s">
        <v>1223</v>
      </c>
      <c r="F600" s="31" t="s">
        <v>1224</v>
      </c>
      <c r="H600" s="40">
        <v>45723</v>
      </c>
      <c r="I600" s="31" t="str">
        <f t="shared" ca="1" si="20"/>
        <v>●</v>
      </c>
      <c r="J600" s="31">
        <f t="shared" si="21"/>
        <v>598</v>
      </c>
    </row>
    <row r="601" spans="2:10" hidden="1">
      <c r="B601" s="35">
        <v>4</v>
      </c>
      <c r="C601" s="31" t="s">
        <v>116</v>
      </c>
      <c r="D601" s="35" t="b">
        <v>0</v>
      </c>
      <c r="E601" s="34" t="s">
        <v>1225</v>
      </c>
      <c r="F601" s="31" t="s">
        <v>1226</v>
      </c>
      <c r="H601" s="40">
        <v>45723</v>
      </c>
      <c r="I601" s="31" t="str">
        <f t="shared" ca="1" si="20"/>
        <v>●</v>
      </c>
      <c r="J601" s="31">
        <f t="shared" si="21"/>
        <v>599</v>
      </c>
    </row>
    <row r="602" spans="2:10" hidden="1">
      <c r="B602" s="35">
        <v>4</v>
      </c>
      <c r="C602" s="31" t="s">
        <v>116</v>
      </c>
      <c r="D602" s="35" t="b">
        <v>1</v>
      </c>
      <c r="E602" s="34" t="s">
        <v>1227</v>
      </c>
      <c r="F602" s="31" t="s">
        <v>1228</v>
      </c>
      <c r="H602" s="40">
        <v>45723</v>
      </c>
      <c r="I602" s="31" t="str">
        <f t="shared" ca="1" si="20"/>
        <v>●</v>
      </c>
      <c r="J602" s="31">
        <f t="shared" si="21"/>
        <v>600</v>
      </c>
    </row>
    <row r="603" spans="2:10" hidden="1">
      <c r="B603" s="35">
        <v>4</v>
      </c>
      <c r="C603" s="31" t="s">
        <v>116</v>
      </c>
      <c r="D603" s="35" t="b">
        <v>1</v>
      </c>
      <c r="E603" s="34" t="s">
        <v>1229</v>
      </c>
      <c r="F603" s="31" t="s">
        <v>1230</v>
      </c>
      <c r="H603" s="40">
        <v>45723</v>
      </c>
      <c r="I603" s="31" t="str">
        <f t="shared" ca="1" si="20"/>
        <v>●</v>
      </c>
      <c r="J603" s="31">
        <f t="shared" si="21"/>
        <v>601</v>
      </c>
    </row>
    <row r="604" spans="2:10">
      <c r="B604" s="31">
        <v>4</v>
      </c>
      <c r="C604" s="31" t="s">
        <v>116</v>
      </c>
      <c r="D604" s="31" t="b">
        <v>1</v>
      </c>
      <c r="E604" s="34" t="s">
        <v>1231</v>
      </c>
      <c r="F604" s="31" t="s">
        <v>1232</v>
      </c>
      <c r="H604" s="40">
        <v>45723</v>
      </c>
      <c r="I604" s="31" t="str">
        <f t="shared" ca="1" si="20"/>
        <v>●</v>
      </c>
      <c r="J604" s="31">
        <f t="shared" si="21"/>
        <v>602</v>
      </c>
    </row>
    <row r="605" spans="2:10" hidden="1">
      <c r="B605" s="31">
        <v>4</v>
      </c>
      <c r="C605" s="31" t="s">
        <v>116</v>
      </c>
      <c r="D605" s="31" t="b">
        <v>1</v>
      </c>
      <c r="E605" s="34" t="s">
        <v>1233</v>
      </c>
      <c r="F605" s="31" t="s">
        <v>1234</v>
      </c>
      <c r="H605" s="40">
        <v>45723</v>
      </c>
      <c r="I605" s="31" t="str">
        <f t="shared" ca="1" si="20"/>
        <v>●</v>
      </c>
      <c r="J605" s="31">
        <f t="shared" si="21"/>
        <v>603</v>
      </c>
    </row>
    <row r="606" spans="2:10">
      <c r="B606" s="31">
        <v>4</v>
      </c>
      <c r="C606" s="31" t="s">
        <v>116</v>
      </c>
      <c r="D606" s="31" t="b">
        <v>1</v>
      </c>
      <c r="E606" s="34" t="s">
        <v>1235</v>
      </c>
      <c r="F606" s="31" t="s">
        <v>1236</v>
      </c>
      <c r="G606" s="31" t="s">
        <v>1237</v>
      </c>
      <c r="H606" s="40">
        <v>45723</v>
      </c>
      <c r="I606" s="31" t="str">
        <f t="shared" ca="1" si="20"/>
        <v>●</v>
      </c>
      <c r="J606" s="31">
        <f t="shared" si="21"/>
        <v>604</v>
      </c>
    </row>
    <row r="607" spans="2:10" hidden="1">
      <c r="B607" s="31">
        <v>4</v>
      </c>
      <c r="C607" s="31" t="s">
        <v>116</v>
      </c>
      <c r="D607" s="35" t="b">
        <v>1</v>
      </c>
      <c r="E607" s="34" t="s">
        <v>1238</v>
      </c>
      <c r="F607" s="31" t="s">
        <v>1239</v>
      </c>
      <c r="H607" s="40">
        <v>45723</v>
      </c>
      <c r="I607" s="31" t="str">
        <f t="shared" ca="1" si="20"/>
        <v>●</v>
      </c>
      <c r="J607" s="31">
        <f t="shared" si="21"/>
        <v>605</v>
      </c>
    </row>
    <row r="608" spans="2:10">
      <c r="B608" s="31">
        <v>4</v>
      </c>
      <c r="D608" s="31" t="b">
        <v>1</v>
      </c>
      <c r="E608" s="34" t="s">
        <v>1240</v>
      </c>
      <c r="F608" s="31" t="s">
        <v>1241</v>
      </c>
      <c r="G608" s="31" t="s">
        <v>1242</v>
      </c>
      <c r="H608" s="40">
        <v>45723</v>
      </c>
      <c r="I608" s="31" t="str">
        <f t="shared" ca="1" si="20"/>
        <v>●</v>
      </c>
      <c r="J608" s="31">
        <f t="shared" si="21"/>
        <v>606</v>
      </c>
    </row>
    <row r="609" spans="2:10" hidden="1">
      <c r="B609" s="31">
        <v>4</v>
      </c>
      <c r="C609" s="31" t="s">
        <v>116</v>
      </c>
      <c r="D609" s="31" t="b">
        <v>1</v>
      </c>
      <c r="E609" s="34" t="s">
        <v>1243</v>
      </c>
      <c r="F609" s="31" t="s">
        <v>1244</v>
      </c>
      <c r="H609" s="40">
        <v>45723</v>
      </c>
      <c r="I609" s="31" t="str">
        <f t="shared" ca="1" si="20"/>
        <v>●</v>
      </c>
      <c r="J609" s="31">
        <f t="shared" si="21"/>
        <v>607</v>
      </c>
    </row>
    <row r="610" spans="2:10">
      <c r="B610" s="31">
        <v>4</v>
      </c>
      <c r="D610" s="31" t="b">
        <v>1</v>
      </c>
      <c r="E610" s="34" t="s">
        <v>1245</v>
      </c>
      <c r="F610" s="31" t="s">
        <v>1246</v>
      </c>
      <c r="G610" s="31" t="s">
        <v>1247</v>
      </c>
      <c r="H610" s="40">
        <v>45720</v>
      </c>
      <c r="I610" s="31" t="str">
        <f t="shared" ca="1" si="20"/>
        <v>●</v>
      </c>
      <c r="J610" s="31">
        <f t="shared" si="21"/>
        <v>608</v>
      </c>
    </row>
    <row r="611" spans="2:10" hidden="1">
      <c r="B611" s="31">
        <v>4</v>
      </c>
      <c r="C611" s="31" t="s">
        <v>116</v>
      </c>
      <c r="D611" s="35" t="b">
        <v>1</v>
      </c>
      <c r="E611" s="34" t="s">
        <v>1248</v>
      </c>
      <c r="F611" s="31" t="s">
        <v>1249</v>
      </c>
      <c r="H611" s="40">
        <v>45723</v>
      </c>
      <c r="I611" s="31" t="str">
        <f t="shared" ca="1" si="20"/>
        <v>●</v>
      </c>
      <c r="J611" s="31">
        <f t="shared" si="21"/>
        <v>609</v>
      </c>
    </row>
    <row r="612" spans="2:10" hidden="1">
      <c r="B612" s="31">
        <v>4</v>
      </c>
      <c r="C612" s="31" t="s">
        <v>116</v>
      </c>
      <c r="D612" s="35" t="b">
        <v>1</v>
      </c>
      <c r="E612" s="34" t="s">
        <v>481</v>
      </c>
      <c r="F612" s="31" t="s">
        <v>1250</v>
      </c>
      <c r="H612" s="40">
        <v>45723</v>
      </c>
      <c r="I612" s="31" t="str">
        <f t="shared" ca="1" si="20"/>
        <v>●</v>
      </c>
      <c r="J612" s="31">
        <f t="shared" si="21"/>
        <v>610</v>
      </c>
    </row>
    <row r="613" spans="2:10">
      <c r="B613" s="31">
        <v>4</v>
      </c>
      <c r="D613" s="31" t="b">
        <v>1</v>
      </c>
      <c r="E613" s="34" t="s">
        <v>1251</v>
      </c>
      <c r="F613" s="31" t="s">
        <v>1252</v>
      </c>
      <c r="G613" s="31" t="s">
        <v>1253</v>
      </c>
      <c r="H613" s="40">
        <v>45720</v>
      </c>
      <c r="I613" s="31" t="str">
        <f t="shared" ca="1" si="20"/>
        <v>●</v>
      </c>
      <c r="J613" s="31">
        <f t="shared" si="21"/>
        <v>611</v>
      </c>
    </row>
    <row r="614" spans="2:10">
      <c r="B614" s="31">
        <v>4</v>
      </c>
      <c r="D614" s="31" t="b">
        <v>1</v>
      </c>
      <c r="E614" s="34" t="s">
        <v>1254</v>
      </c>
      <c r="F614" s="31" t="s">
        <v>1255</v>
      </c>
      <c r="G614" s="31" t="s">
        <v>1256</v>
      </c>
      <c r="H614" s="40">
        <v>45720</v>
      </c>
      <c r="I614" s="31" t="str">
        <f t="shared" ca="1" si="20"/>
        <v>●</v>
      </c>
      <c r="J614" s="31">
        <f t="shared" si="21"/>
        <v>612</v>
      </c>
    </row>
    <row r="615" spans="2:10" hidden="1">
      <c r="B615" s="31">
        <v>4</v>
      </c>
      <c r="C615" s="31" t="s">
        <v>116</v>
      </c>
      <c r="D615" s="35" t="b">
        <v>0</v>
      </c>
      <c r="E615" s="34" t="s">
        <v>1257</v>
      </c>
      <c r="F615" s="31" t="s">
        <v>1258</v>
      </c>
      <c r="H615" s="40">
        <v>45723</v>
      </c>
      <c r="I615" s="31" t="str">
        <f t="shared" ca="1" si="20"/>
        <v>●</v>
      </c>
      <c r="J615" s="31">
        <f t="shared" si="21"/>
        <v>613</v>
      </c>
    </row>
    <row r="616" spans="2:10">
      <c r="B616" s="31">
        <v>4</v>
      </c>
      <c r="D616" s="31" t="b">
        <v>1</v>
      </c>
      <c r="E616" s="34" t="s">
        <v>1259</v>
      </c>
      <c r="F616" s="31" t="s">
        <v>1260</v>
      </c>
      <c r="G616" s="31" t="s">
        <v>1261</v>
      </c>
      <c r="H616" s="40">
        <v>45720</v>
      </c>
      <c r="I616" s="31" t="str">
        <f t="shared" ca="1" si="20"/>
        <v>●</v>
      </c>
      <c r="J616" s="31">
        <f t="shared" si="21"/>
        <v>614</v>
      </c>
    </row>
    <row r="617" spans="2:10">
      <c r="B617" s="31">
        <v>4</v>
      </c>
      <c r="D617" s="31" t="b">
        <v>1</v>
      </c>
      <c r="E617" s="34" t="s">
        <v>1262</v>
      </c>
      <c r="F617" s="31" t="s">
        <v>1263</v>
      </c>
      <c r="G617" s="31" t="s">
        <v>1264</v>
      </c>
      <c r="H617" s="40">
        <v>45720</v>
      </c>
      <c r="I617" s="31" t="str">
        <f t="shared" ca="1" si="20"/>
        <v>●</v>
      </c>
      <c r="J617" s="31">
        <f t="shared" si="21"/>
        <v>615</v>
      </c>
    </row>
    <row r="618" spans="2:10">
      <c r="B618" s="31">
        <v>4</v>
      </c>
      <c r="D618" s="31" t="b">
        <v>1</v>
      </c>
      <c r="E618" s="34" t="s">
        <v>1265</v>
      </c>
      <c r="F618" s="31" t="s">
        <v>1266</v>
      </c>
      <c r="G618" s="31" t="s">
        <v>1267</v>
      </c>
      <c r="H618" s="40">
        <v>45720</v>
      </c>
      <c r="I618" s="31" t="str">
        <f t="shared" ca="1" si="20"/>
        <v>●</v>
      </c>
      <c r="J618" s="31">
        <f t="shared" si="21"/>
        <v>616</v>
      </c>
    </row>
    <row r="619" spans="2:10">
      <c r="B619" s="31">
        <v>4</v>
      </c>
      <c r="D619" s="31" t="b">
        <v>1</v>
      </c>
      <c r="E619" s="34" t="s">
        <v>1268</v>
      </c>
      <c r="F619" s="31" t="s">
        <v>1269</v>
      </c>
      <c r="G619" s="31" t="s">
        <v>1270</v>
      </c>
      <c r="H619" s="40">
        <v>45720</v>
      </c>
      <c r="I619" s="31" t="str">
        <f t="shared" ca="1" si="20"/>
        <v>●</v>
      </c>
      <c r="J619" s="31">
        <f t="shared" si="21"/>
        <v>617</v>
      </c>
    </row>
    <row r="620" spans="2:10">
      <c r="B620" s="31">
        <v>4</v>
      </c>
      <c r="D620" s="31" t="b">
        <v>1</v>
      </c>
      <c r="E620" s="34" t="s">
        <v>1271</v>
      </c>
      <c r="F620" s="31" t="s">
        <v>1272</v>
      </c>
      <c r="G620" s="31" t="s">
        <v>1273</v>
      </c>
      <c r="H620" s="40">
        <v>45720</v>
      </c>
      <c r="I620" s="31" t="str">
        <f t="shared" ca="1" si="20"/>
        <v>●</v>
      </c>
      <c r="J620" s="31">
        <f t="shared" si="21"/>
        <v>618</v>
      </c>
    </row>
    <row r="621" spans="2:10">
      <c r="B621" s="31">
        <v>4</v>
      </c>
      <c r="D621" s="31" t="b">
        <v>1</v>
      </c>
      <c r="E621" s="34" t="s">
        <v>1274</v>
      </c>
      <c r="F621" s="31" t="s">
        <v>1275</v>
      </c>
      <c r="H621" s="40">
        <v>45720</v>
      </c>
      <c r="I621" s="31" t="str">
        <f t="shared" ca="1" si="20"/>
        <v>●</v>
      </c>
      <c r="J621" s="31">
        <f t="shared" si="21"/>
        <v>619</v>
      </c>
    </row>
    <row r="622" spans="2:10">
      <c r="B622" s="31">
        <v>4</v>
      </c>
      <c r="D622" s="31" t="b">
        <v>1</v>
      </c>
      <c r="E622" s="34" t="s">
        <v>1276</v>
      </c>
      <c r="F622" s="31" t="s">
        <v>1277</v>
      </c>
      <c r="H622" s="40">
        <v>45720</v>
      </c>
      <c r="I622" s="31" t="str">
        <f t="shared" ca="1" si="20"/>
        <v>●</v>
      </c>
      <c r="J622" s="31">
        <f t="shared" si="21"/>
        <v>620</v>
      </c>
    </row>
    <row r="623" spans="2:10">
      <c r="B623" s="31">
        <v>4</v>
      </c>
      <c r="D623" s="31" t="b">
        <v>1</v>
      </c>
      <c r="E623" s="34" t="s">
        <v>1278</v>
      </c>
      <c r="F623" s="31" t="s">
        <v>1279</v>
      </c>
      <c r="H623" s="40">
        <v>45720</v>
      </c>
      <c r="I623" s="31" t="str">
        <f t="shared" ca="1" si="20"/>
        <v>●</v>
      </c>
      <c r="J623" s="31">
        <f t="shared" si="21"/>
        <v>621</v>
      </c>
    </row>
    <row r="624" spans="2:10">
      <c r="B624" s="31">
        <v>4</v>
      </c>
      <c r="D624" s="31" t="b">
        <v>1</v>
      </c>
      <c r="E624" s="34" t="s">
        <v>1280</v>
      </c>
      <c r="F624" s="31" t="s">
        <v>1281</v>
      </c>
      <c r="H624" s="40">
        <v>45711</v>
      </c>
      <c r="I624" s="31" t="str">
        <f t="shared" ca="1" si="20"/>
        <v>●</v>
      </c>
      <c r="J624" s="31">
        <f t="shared" si="21"/>
        <v>622</v>
      </c>
    </row>
    <row r="625" spans="2:10">
      <c r="B625" s="31">
        <v>4</v>
      </c>
      <c r="D625" s="31" t="b">
        <v>1</v>
      </c>
      <c r="E625" s="34" t="s">
        <v>1282</v>
      </c>
      <c r="F625" s="31" t="s">
        <v>1283</v>
      </c>
      <c r="H625" s="40">
        <v>45711</v>
      </c>
      <c r="I625" s="31" t="str">
        <f t="shared" ca="1" si="20"/>
        <v>●</v>
      </c>
      <c r="J625" s="31">
        <f t="shared" si="21"/>
        <v>623</v>
      </c>
    </row>
    <row r="626" spans="2:10" hidden="1">
      <c r="B626" s="31">
        <v>4</v>
      </c>
      <c r="C626" s="31" t="s">
        <v>116</v>
      </c>
      <c r="D626" s="31" t="b">
        <v>1</v>
      </c>
      <c r="E626" s="34" t="s">
        <v>1284</v>
      </c>
      <c r="F626" s="31" t="s">
        <v>1285</v>
      </c>
      <c r="G626" s="31" t="s">
        <v>1286</v>
      </c>
      <c r="H626" s="40">
        <v>45720</v>
      </c>
      <c r="I626" s="31" t="str">
        <f t="shared" ca="1" si="20"/>
        <v>●</v>
      </c>
      <c r="J626" s="31">
        <f t="shared" si="21"/>
        <v>624</v>
      </c>
    </row>
    <row r="627" spans="2:10" hidden="1">
      <c r="B627" s="31">
        <v>4</v>
      </c>
      <c r="C627" s="31" t="s">
        <v>116</v>
      </c>
      <c r="D627" s="31" t="b">
        <v>1</v>
      </c>
      <c r="E627" s="34" t="s">
        <v>1287</v>
      </c>
      <c r="F627" s="31" t="s">
        <v>1288</v>
      </c>
      <c r="H627" s="40">
        <v>45720</v>
      </c>
      <c r="I627" s="31" t="str">
        <f t="shared" ca="1" si="20"/>
        <v>●</v>
      </c>
      <c r="J627" s="31">
        <f t="shared" si="21"/>
        <v>625</v>
      </c>
    </row>
    <row r="628" spans="2:10" hidden="1">
      <c r="B628" s="31">
        <v>4</v>
      </c>
      <c r="C628" s="31" t="s">
        <v>116</v>
      </c>
      <c r="D628" s="31" t="b">
        <v>1</v>
      </c>
      <c r="E628" s="34" t="s">
        <v>1289</v>
      </c>
      <c r="F628" s="31" t="s">
        <v>1290</v>
      </c>
      <c r="H628" s="40">
        <v>45720</v>
      </c>
      <c r="I628" s="31" t="str">
        <f t="shared" ca="1" si="20"/>
        <v>●</v>
      </c>
      <c r="J628" s="31">
        <f t="shared" si="21"/>
        <v>626</v>
      </c>
    </row>
    <row r="629" spans="2:10" hidden="1">
      <c r="B629" s="31">
        <v>4</v>
      </c>
      <c r="C629" s="31" t="s">
        <v>116</v>
      </c>
      <c r="D629" s="31" t="b">
        <v>1</v>
      </c>
      <c r="E629" s="34" t="s">
        <v>1291</v>
      </c>
      <c r="F629" s="31" t="s">
        <v>1292</v>
      </c>
      <c r="G629" s="31" t="s">
        <v>1293</v>
      </c>
      <c r="H629" s="40">
        <v>45720</v>
      </c>
      <c r="I629" s="31" t="str">
        <f t="shared" ca="1" si="20"/>
        <v>●</v>
      </c>
      <c r="J629" s="31">
        <f t="shared" si="21"/>
        <v>627</v>
      </c>
    </row>
    <row r="630" spans="2:10" hidden="1">
      <c r="B630" s="31">
        <v>5</v>
      </c>
      <c r="D630" s="31" t="b">
        <v>1</v>
      </c>
      <c r="E630" s="34" t="s">
        <v>1294</v>
      </c>
      <c r="F630" s="31" t="s">
        <v>1295</v>
      </c>
      <c r="H630" s="40">
        <v>45751</v>
      </c>
      <c r="I630" s="31" t="str">
        <f t="shared" ca="1" si="20"/>
        <v/>
      </c>
      <c r="J630" s="31">
        <f t="shared" si="21"/>
        <v>628</v>
      </c>
    </row>
    <row r="631" spans="2:10" hidden="1">
      <c r="B631" s="31">
        <v>5</v>
      </c>
      <c r="D631" s="31" t="b">
        <v>1</v>
      </c>
      <c r="E631" s="34" t="s">
        <v>1296</v>
      </c>
      <c r="F631" s="31" t="s">
        <v>1297</v>
      </c>
      <c r="H631" s="40">
        <v>45751</v>
      </c>
      <c r="I631" s="31" t="str">
        <f t="shared" ca="1" si="20"/>
        <v/>
      </c>
      <c r="J631" s="31">
        <f t="shared" si="21"/>
        <v>629</v>
      </c>
    </row>
    <row r="632" spans="2:10" hidden="1">
      <c r="B632" s="31">
        <v>5</v>
      </c>
      <c r="D632" s="31" t="b">
        <v>1</v>
      </c>
      <c r="E632" s="34" t="s">
        <v>1298</v>
      </c>
      <c r="F632" s="31" t="s">
        <v>1299</v>
      </c>
      <c r="H632" s="40">
        <v>45751</v>
      </c>
      <c r="I632" s="31" t="str">
        <f t="shared" ca="1" si="20"/>
        <v/>
      </c>
      <c r="J632" s="31">
        <f t="shared" si="21"/>
        <v>630</v>
      </c>
    </row>
    <row r="633" spans="2:10" hidden="1">
      <c r="B633" s="31">
        <v>5</v>
      </c>
      <c r="D633" s="31" t="b">
        <v>1</v>
      </c>
      <c r="E633" s="34" t="s">
        <v>1300</v>
      </c>
      <c r="F633" s="31" t="s">
        <v>1301</v>
      </c>
      <c r="H633" s="40">
        <v>45751</v>
      </c>
      <c r="I633" s="31" t="str">
        <f t="shared" ca="1" si="20"/>
        <v/>
      </c>
      <c r="J633" s="31">
        <f t="shared" si="21"/>
        <v>631</v>
      </c>
    </row>
    <row r="634" spans="2:10" hidden="1">
      <c r="B634" s="31">
        <v>5</v>
      </c>
      <c r="D634" s="31" t="b">
        <v>1</v>
      </c>
      <c r="E634" s="34" t="s">
        <v>1302</v>
      </c>
      <c r="F634" s="31" t="s">
        <v>1303</v>
      </c>
      <c r="H634" s="40">
        <v>45751</v>
      </c>
      <c r="I634" s="31" t="str">
        <f t="shared" ca="1" si="20"/>
        <v/>
      </c>
      <c r="J634" s="31">
        <f t="shared" si="21"/>
        <v>632</v>
      </c>
    </row>
    <row r="635" spans="2:10" hidden="1">
      <c r="B635" s="31">
        <v>5</v>
      </c>
      <c r="D635" s="31" t="b">
        <v>1</v>
      </c>
      <c r="E635" s="34" t="s">
        <v>1304</v>
      </c>
      <c r="F635" s="31" t="s">
        <v>1305</v>
      </c>
      <c r="H635" s="40">
        <v>45751</v>
      </c>
      <c r="I635" s="31" t="str">
        <f t="shared" ca="1" si="20"/>
        <v/>
      </c>
      <c r="J635" s="31">
        <f t="shared" si="21"/>
        <v>633</v>
      </c>
    </row>
    <row r="636" spans="2:10" hidden="1">
      <c r="B636" s="31">
        <v>5</v>
      </c>
      <c r="D636" s="31" t="b">
        <v>1</v>
      </c>
      <c r="E636" s="34" t="s">
        <v>1306</v>
      </c>
      <c r="F636" s="31" t="s">
        <v>1307</v>
      </c>
      <c r="H636" s="40">
        <v>45751</v>
      </c>
      <c r="I636" s="31" t="str">
        <f t="shared" ca="1" si="20"/>
        <v/>
      </c>
      <c r="J636" s="31">
        <f t="shared" si="21"/>
        <v>634</v>
      </c>
    </row>
    <row r="637" spans="2:10" hidden="1">
      <c r="B637" s="31">
        <v>5</v>
      </c>
      <c r="D637" s="31" t="b">
        <v>1</v>
      </c>
      <c r="E637" s="34" t="s">
        <v>1308</v>
      </c>
      <c r="F637" s="31" t="s">
        <v>1309</v>
      </c>
      <c r="H637" s="40">
        <v>45751</v>
      </c>
      <c r="I637" s="31" t="str">
        <f t="shared" ca="1" si="20"/>
        <v/>
      </c>
      <c r="J637" s="31">
        <f t="shared" si="21"/>
        <v>635</v>
      </c>
    </row>
    <row r="638" spans="2:10" hidden="1">
      <c r="B638" s="31">
        <v>5</v>
      </c>
      <c r="D638" s="31" t="b">
        <v>1</v>
      </c>
      <c r="E638" s="34" t="s">
        <v>1310</v>
      </c>
      <c r="F638" s="31" t="s">
        <v>1311</v>
      </c>
      <c r="H638" s="40">
        <v>45751</v>
      </c>
      <c r="I638" s="31" t="str">
        <f t="shared" ca="1" si="20"/>
        <v/>
      </c>
      <c r="J638" s="31">
        <f t="shared" si="21"/>
        <v>636</v>
      </c>
    </row>
    <row r="639" spans="2:10" hidden="1">
      <c r="B639" s="31">
        <v>4</v>
      </c>
      <c r="D639" s="31" t="b">
        <v>1</v>
      </c>
      <c r="E639" s="34" t="s">
        <v>1312</v>
      </c>
      <c r="F639" s="31" t="s">
        <v>1313</v>
      </c>
      <c r="H639" s="40">
        <v>45741</v>
      </c>
      <c r="I639" s="31" t="str">
        <f t="shared" ca="1" si="20"/>
        <v>●</v>
      </c>
      <c r="J639" s="31">
        <f t="shared" si="21"/>
        <v>637</v>
      </c>
    </row>
    <row r="640" spans="2:10" hidden="1">
      <c r="B640" s="31">
        <v>5</v>
      </c>
      <c r="D640" s="31" t="b">
        <v>1</v>
      </c>
      <c r="E640" s="34" t="s">
        <v>1314</v>
      </c>
      <c r="F640" s="31" t="s">
        <v>1315</v>
      </c>
      <c r="H640" s="40">
        <v>45751</v>
      </c>
      <c r="I640" s="31" t="str">
        <f t="shared" ca="1" si="20"/>
        <v/>
      </c>
      <c r="J640" s="31">
        <f t="shared" si="21"/>
        <v>638</v>
      </c>
    </row>
    <row r="641" spans="2:10" hidden="1">
      <c r="B641" s="31">
        <v>5</v>
      </c>
      <c r="D641" s="31" t="b">
        <v>1</v>
      </c>
      <c r="E641" s="34" t="s">
        <v>1316</v>
      </c>
      <c r="F641" s="31" t="s">
        <v>1317</v>
      </c>
      <c r="H641" s="40">
        <v>45751</v>
      </c>
      <c r="I641" s="31" t="str">
        <f t="shared" ca="1" si="20"/>
        <v/>
      </c>
      <c r="J641" s="31">
        <f t="shared" si="21"/>
        <v>639</v>
      </c>
    </row>
    <row r="642" spans="2:10">
      <c r="B642" s="31">
        <v>4</v>
      </c>
      <c r="D642" s="31" t="b">
        <v>1</v>
      </c>
      <c r="E642" s="34" t="s">
        <v>1318</v>
      </c>
      <c r="F642" s="31" t="s">
        <v>1319</v>
      </c>
      <c r="H642" s="40">
        <v>45711</v>
      </c>
      <c r="I642" s="31" t="str">
        <f t="shared" ca="1" si="20"/>
        <v>●</v>
      </c>
      <c r="J642" s="31">
        <f t="shared" si="21"/>
        <v>640</v>
      </c>
    </row>
    <row r="643" spans="2:10" hidden="1">
      <c r="B643" s="31">
        <v>5</v>
      </c>
      <c r="D643" s="31" t="b">
        <v>1</v>
      </c>
      <c r="E643" s="34" t="s">
        <v>1320</v>
      </c>
      <c r="F643" s="31" t="s">
        <v>1321</v>
      </c>
      <c r="H643" s="40">
        <v>45751</v>
      </c>
      <c r="I643" s="31" t="str">
        <f t="shared" ca="1" si="20"/>
        <v/>
      </c>
      <c r="J643" s="31">
        <f t="shared" si="21"/>
        <v>641</v>
      </c>
    </row>
    <row r="644" spans="2:10">
      <c r="B644" s="31">
        <v>4</v>
      </c>
      <c r="D644" s="31" t="b">
        <v>1</v>
      </c>
      <c r="E644" s="34" t="s">
        <v>1322</v>
      </c>
      <c r="F644" s="31" t="s">
        <v>1323</v>
      </c>
      <c r="H644" s="40">
        <v>45711</v>
      </c>
      <c r="I644" s="31" t="str">
        <f t="shared" ca="1" si="20"/>
        <v>●</v>
      </c>
      <c r="J644" s="31">
        <f t="shared" si="21"/>
        <v>642</v>
      </c>
    </row>
    <row r="645" spans="2:10" hidden="1">
      <c r="B645" s="31">
        <v>5</v>
      </c>
      <c r="D645" s="31" t="b">
        <v>1</v>
      </c>
      <c r="E645" s="34" t="s">
        <v>1324</v>
      </c>
      <c r="F645" s="31" t="s">
        <v>1325</v>
      </c>
      <c r="H645" s="40">
        <v>45751</v>
      </c>
      <c r="I645" s="31" t="str">
        <f t="shared" ca="1" si="20"/>
        <v/>
      </c>
      <c r="J645" s="31">
        <f t="shared" si="21"/>
        <v>643</v>
      </c>
    </row>
    <row r="646" spans="2:10" hidden="1">
      <c r="B646" s="31">
        <v>5</v>
      </c>
      <c r="D646" s="31" t="b">
        <v>1</v>
      </c>
      <c r="E646" s="34" t="s">
        <v>1326</v>
      </c>
      <c r="F646" s="31" t="s">
        <v>1327</v>
      </c>
      <c r="H646" s="40">
        <v>45751</v>
      </c>
      <c r="I646" s="31" t="str">
        <f t="shared" ca="1" si="20"/>
        <v/>
      </c>
      <c r="J646" s="31">
        <f t="shared" si="21"/>
        <v>644</v>
      </c>
    </row>
    <row r="647" spans="2:10" hidden="1">
      <c r="B647" s="31">
        <v>5</v>
      </c>
      <c r="D647" s="31" t="b">
        <v>1</v>
      </c>
      <c r="E647" s="34" t="s">
        <v>1328</v>
      </c>
      <c r="F647" s="31" t="s">
        <v>1329</v>
      </c>
      <c r="H647" s="40">
        <v>45751</v>
      </c>
      <c r="I647" s="31" t="str">
        <f t="shared" ca="1" si="20"/>
        <v/>
      </c>
      <c r="J647" s="31">
        <f t="shared" si="21"/>
        <v>645</v>
      </c>
    </row>
    <row r="648" spans="2:10" hidden="1">
      <c r="B648" s="31">
        <v>5</v>
      </c>
      <c r="D648" s="31" t="b">
        <v>1</v>
      </c>
      <c r="E648" s="34" t="s">
        <v>1330</v>
      </c>
      <c r="F648" s="31" t="s">
        <v>1331</v>
      </c>
      <c r="H648" s="40">
        <v>45751</v>
      </c>
      <c r="I648" s="31" t="str">
        <f t="shared" ca="1" si="20"/>
        <v/>
      </c>
      <c r="J648" s="31">
        <f t="shared" si="21"/>
        <v>646</v>
      </c>
    </row>
    <row r="649" spans="2:10" hidden="1">
      <c r="B649" s="31">
        <v>5</v>
      </c>
      <c r="D649" s="31" t="b">
        <v>1</v>
      </c>
      <c r="E649" s="34" t="s">
        <v>1332</v>
      </c>
      <c r="F649" s="31" t="s">
        <v>1333</v>
      </c>
      <c r="H649" s="40">
        <v>45751</v>
      </c>
      <c r="I649" s="31" t="str">
        <f t="shared" ca="1" si="20"/>
        <v/>
      </c>
      <c r="J649" s="31">
        <f t="shared" si="21"/>
        <v>647</v>
      </c>
    </row>
    <row r="650" spans="2:10" hidden="1">
      <c r="B650" s="31">
        <v>5</v>
      </c>
      <c r="D650" s="31" t="b">
        <v>1</v>
      </c>
      <c r="E650" s="34" t="s">
        <v>1334</v>
      </c>
      <c r="F650" s="31" t="s">
        <v>1335</v>
      </c>
      <c r="H650" s="40">
        <v>45751</v>
      </c>
      <c r="I650" s="31" t="str">
        <f t="shared" ca="1" si="20"/>
        <v/>
      </c>
      <c r="J650" s="31">
        <f t="shared" si="21"/>
        <v>648</v>
      </c>
    </row>
    <row r="651" spans="2:10" hidden="1">
      <c r="B651" s="31">
        <v>5</v>
      </c>
      <c r="D651" s="31" t="b">
        <v>1</v>
      </c>
      <c r="E651" s="34" t="s">
        <v>1336</v>
      </c>
      <c r="F651" s="31" t="s">
        <v>1337</v>
      </c>
      <c r="H651" s="40">
        <v>45751</v>
      </c>
      <c r="I651" s="31" t="str">
        <f t="shared" ca="1" si="20"/>
        <v/>
      </c>
      <c r="J651" s="31">
        <f t="shared" si="21"/>
        <v>649</v>
      </c>
    </row>
    <row r="652" spans="2:10" hidden="1">
      <c r="B652" s="31">
        <v>4</v>
      </c>
      <c r="D652" s="31" t="b">
        <v>1</v>
      </c>
      <c r="E652" s="34" t="s">
        <v>1338</v>
      </c>
      <c r="F652" s="31" t="s">
        <v>1339</v>
      </c>
      <c r="H652" s="40">
        <v>45741</v>
      </c>
      <c r="I652" s="31" t="str">
        <f t="shared" ca="1" si="20"/>
        <v>●</v>
      </c>
      <c r="J652" s="31">
        <f t="shared" si="21"/>
        <v>650</v>
      </c>
    </row>
    <row r="653" spans="2:10" hidden="1">
      <c r="B653" s="31">
        <v>5</v>
      </c>
      <c r="D653" s="31" t="b">
        <v>1</v>
      </c>
      <c r="E653" s="34" t="s">
        <v>1340</v>
      </c>
      <c r="F653" s="31" t="s">
        <v>1341</v>
      </c>
      <c r="H653" s="40">
        <v>45751</v>
      </c>
      <c r="I653" s="31" t="str">
        <f t="shared" ca="1" si="20"/>
        <v/>
      </c>
      <c r="J653" s="31">
        <f t="shared" si="21"/>
        <v>651</v>
      </c>
    </row>
    <row r="654" spans="2:10" hidden="1">
      <c r="B654" s="31">
        <v>5</v>
      </c>
      <c r="D654" s="31" t="b">
        <v>1</v>
      </c>
      <c r="E654" s="34" t="s">
        <v>1342</v>
      </c>
      <c r="F654" s="31" t="s">
        <v>1343</v>
      </c>
      <c r="H654" s="40">
        <v>45751</v>
      </c>
      <c r="I654" s="31" t="str">
        <f t="shared" ca="1" si="20"/>
        <v/>
      </c>
      <c r="J654" s="31">
        <f t="shared" si="21"/>
        <v>652</v>
      </c>
    </row>
    <row r="655" spans="2:10" hidden="1">
      <c r="B655" s="31">
        <v>5</v>
      </c>
      <c r="D655" s="31" t="b">
        <v>1</v>
      </c>
      <c r="E655" s="34" t="s">
        <v>1344</v>
      </c>
      <c r="F655" s="31" t="s">
        <v>1345</v>
      </c>
      <c r="H655" s="40">
        <v>45751</v>
      </c>
      <c r="I655" s="31" t="str">
        <f t="shared" ca="1" si="20"/>
        <v/>
      </c>
      <c r="J655" s="31">
        <f t="shared" si="21"/>
        <v>653</v>
      </c>
    </row>
    <row r="656" spans="2:10" hidden="1">
      <c r="B656" s="31">
        <v>4</v>
      </c>
      <c r="D656" s="31" t="b">
        <v>1</v>
      </c>
      <c r="E656" s="34" t="s">
        <v>1346</v>
      </c>
      <c r="F656" s="31" t="s">
        <v>1347</v>
      </c>
      <c r="H656" s="40">
        <v>45741</v>
      </c>
      <c r="I656" s="31" t="str">
        <f t="shared" ca="1" si="20"/>
        <v>●</v>
      </c>
      <c r="J656" s="31">
        <f t="shared" si="21"/>
        <v>654</v>
      </c>
    </row>
    <row r="657" spans="2:10" hidden="1">
      <c r="B657" s="31">
        <v>5</v>
      </c>
      <c r="D657" s="31" t="b">
        <v>1</v>
      </c>
      <c r="E657" s="34" t="s">
        <v>1348</v>
      </c>
      <c r="F657" s="31" t="s">
        <v>1349</v>
      </c>
      <c r="H657" s="40">
        <v>45751</v>
      </c>
      <c r="I657" s="31" t="str">
        <f t="shared" ca="1" si="20"/>
        <v/>
      </c>
      <c r="J657" s="31">
        <f t="shared" si="21"/>
        <v>655</v>
      </c>
    </row>
    <row r="658" spans="2:10" hidden="1">
      <c r="B658" s="31">
        <v>4</v>
      </c>
      <c r="D658" s="31" t="b">
        <v>1</v>
      </c>
      <c r="E658" s="34" t="s">
        <v>1350</v>
      </c>
      <c r="F658" s="31" t="s">
        <v>1351</v>
      </c>
      <c r="H658" s="40">
        <v>45741</v>
      </c>
      <c r="I658" s="31" t="str">
        <f t="shared" ref="I658:I721" ca="1" si="22">IF(H658-$G$1&lt;=0,"●","")</f>
        <v>●</v>
      </c>
      <c r="J658" s="31">
        <f t="shared" ref="J658:J721" si="23">ROW()-2</f>
        <v>656</v>
      </c>
    </row>
    <row r="659" spans="2:10">
      <c r="B659" s="31">
        <v>4</v>
      </c>
      <c r="D659" s="31" t="b">
        <v>1</v>
      </c>
      <c r="E659" s="34" t="s">
        <v>1352</v>
      </c>
      <c r="F659" s="31" t="s">
        <v>1353</v>
      </c>
      <c r="H659" s="40">
        <v>45711</v>
      </c>
      <c r="I659" s="31" t="str">
        <f t="shared" ca="1" si="22"/>
        <v>●</v>
      </c>
      <c r="J659" s="31">
        <f t="shared" si="23"/>
        <v>657</v>
      </c>
    </row>
    <row r="660" spans="2:10">
      <c r="B660" s="31">
        <v>4</v>
      </c>
      <c r="D660" s="31" t="b">
        <v>1</v>
      </c>
      <c r="E660" s="34" t="s">
        <v>1354</v>
      </c>
      <c r="F660" s="31" t="s">
        <v>1355</v>
      </c>
      <c r="H660" s="40">
        <v>45711</v>
      </c>
      <c r="I660" s="31" t="str">
        <f t="shared" ca="1" si="22"/>
        <v>●</v>
      </c>
      <c r="J660" s="31">
        <f t="shared" si="23"/>
        <v>658</v>
      </c>
    </row>
    <row r="661" spans="2:10">
      <c r="B661" s="31">
        <v>4</v>
      </c>
      <c r="D661" s="31" t="b">
        <v>1</v>
      </c>
      <c r="E661" s="34" t="s">
        <v>1356</v>
      </c>
      <c r="F661" s="31" t="s">
        <v>1357</v>
      </c>
      <c r="H661" s="40">
        <v>45711</v>
      </c>
      <c r="I661" s="31" t="str">
        <f t="shared" ca="1" si="22"/>
        <v>●</v>
      </c>
      <c r="J661" s="31">
        <f t="shared" si="23"/>
        <v>659</v>
      </c>
    </row>
    <row r="662" spans="2:10" hidden="1">
      <c r="B662" s="31">
        <v>5</v>
      </c>
      <c r="D662" s="31" t="b">
        <v>1</v>
      </c>
      <c r="E662" s="34" t="s">
        <v>1358</v>
      </c>
      <c r="F662" s="31" t="s">
        <v>1359</v>
      </c>
      <c r="H662" s="40">
        <v>45751</v>
      </c>
      <c r="I662" s="31" t="str">
        <f t="shared" ca="1" si="22"/>
        <v/>
      </c>
      <c r="J662" s="31">
        <f t="shared" si="23"/>
        <v>660</v>
      </c>
    </row>
    <row r="663" spans="2:10" hidden="1">
      <c r="B663" s="31">
        <v>5</v>
      </c>
      <c r="D663" s="31" t="b">
        <v>1</v>
      </c>
      <c r="E663" s="34" t="s">
        <v>1360</v>
      </c>
      <c r="F663" s="31" t="s">
        <v>1361</v>
      </c>
      <c r="H663" s="40">
        <v>45751</v>
      </c>
      <c r="I663" s="31" t="str">
        <f t="shared" ca="1" si="22"/>
        <v/>
      </c>
      <c r="J663" s="31">
        <f t="shared" si="23"/>
        <v>661</v>
      </c>
    </row>
    <row r="664" spans="2:10" hidden="1">
      <c r="B664" s="31">
        <v>5</v>
      </c>
      <c r="D664" s="35" t="b">
        <v>1</v>
      </c>
      <c r="E664" s="34" t="s">
        <v>1362</v>
      </c>
      <c r="F664" s="31" t="s">
        <v>1363</v>
      </c>
      <c r="H664" s="40">
        <v>45751</v>
      </c>
      <c r="I664" s="31" t="str">
        <f t="shared" ca="1" si="22"/>
        <v/>
      </c>
      <c r="J664" s="31">
        <f t="shared" si="23"/>
        <v>662</v>
      </c>
    </row>
    <row r="665" spans="2:10" hidden="1">
      <c r="B665" s="31">
        <v>5</v>
      </c>
      <c r="D665" s="31" t="b">
        <v>1</v>
      </c>
      <c r="E665" s="34" t="s">
        <v>1364</v>
      </c>
      <c r="F665" s="31" t="s">
        <v>1365</v>
      </c>
      <c r="H665" s="40">
        <v>45751</v>
      </c>
      <c r="I665" s="31" t="str">
        <f t="shared" ca="1" si="22"/>
        <v/>
      </c>
      <c r="J665" s="31">
        <f t="shared" si="23"/>
        <v>663</v>
      </c>
    </row>
    <row r="666" spans="2:10">
      <c r="B666" s="31">
        <v>4</v>
      </c>
      <c r="D666" s="31" t="b">
        <v>1</v>
      </c>
      <c r="E666" s="34" t="s">
        <v>1366</v>
      </c>
      <c r="F666" s="31" t="s">
        <v>1367</v>
      </c>
      <c r="G666" s="31" t="s">
        <v>1368</v>
      </c>
      <c r="H666" s="40">
        <v>45723</v>
      </c>
      <c r="I666" s="31" t="str">
        <f t="shared" ca="1" si="22"/>
        <v>●</v>
      </c>
      <c r="J666" s="31">
        <f t="shared" si="23"/>
        <v>664</v>
      </c>
    </row>
    <row r="667" spans="2:10" hidden="1">
      <c r="B667" s="31">
        <v>5</v>
      </c>
      <c r="D667" s="31" t="b">
        <v>1</v>
      </c>
      <c r="E667" s="34" t="s">
        <v>1369</v>
      </c>
      <c r="F667" s="31" t="s">
        <v>1370</v>
      </c>
      <c r="H667" s="40">
        <v>45751</v>
      </c>
      <c r="I667" s="31" t="str">
        <f t="shared" ca="1" si="22"/>
        <v/>
      </c>
      <c r="J667" s="31">
        <f t="shared" si="23"/>
        <v>665</v>
      </c>
    </row>
    <row r="668" spans="2:10">
      <c r="B668" s="31">
        <v>4</v>
      </c>
      <c r="D668" s="31" t="b">
        <v>1</v>
      </c>
      <c r="E668" s="34" t="s">
        <v>1371</v>
      </c>
      <c r="F668" s="31" t="s">
        <v>1372</v>
      </c>
      <c r="G668" s="31" t="s">
        <v>1373</v>
      </c>
      <c r="H668" s="40">
        <v>45723</v>
      </c>
      <c r="I668" s="31" t="str">
        <f t="shared" ca="1" si="22"/>
        <v>●</v>
      </c>
      <c r="J668" s="31">
        <f t="shared" si="23"/>
        <v>666</v>
      </c>
    </row>
    <row r="669" spans="2:10" hidden="1">
      <c r="B669" s="31">
        <v>5</v>
      </c>
      <c r="D669" s="31" t="b">
        <v>1</v>
      </c>
      <c r="E669" s="34" t="s">
        <v>1374</v>
      </c>
      <c r="F669" s="31" t="s">
        <v>1375</v>
      </c>
      <c r="H669" s="40">
        <v>45751</v>
      </c>
      <c r="I669" s="31" t="str">
        <f t="shared" ca="1" si="22"/>
        <v/>
      </c>
      <c r="J669" s="31">
        <f t="shared" si="23"/>
        <v>667</v>
      </c>
    </row>
    <row r="670" spans="2:10">
      <c r="B670" s="31">
        <v>4</v>
      </c>
      <c r="D670" s="31" t="b">
        <v>1</v>
      </c>
      <c r="E670" s="34" t="s">
        <v>1376</v>
      </c>
      <c r="F670" s="31" t="s">
        <v>1377</v>
      </c>
      <c r="H670" s="40">
        <v>45711</v>
      </c>
      <c r="I670" s="31" t="str">
        <f t="shared" ca="1" si="22"/>
        <v>●</v>
      </c>
      <c r="J670" s="31">
        <f t="shared" si="23"/>
        <v>668</v>
      </c>
    </row>
    <row r="671" spans="2:10" hidden="1">
      <c r="B671" s="31">
        <v>5</v>
      </c>
      <c r="D671" s="31" t="b">
        <v>1</v>
      </c>
      <c r="E671" s="34" t="s">
        <v>1378</v>
      </c>
      <c r="F671" s="31" t="s">
        <v>1379</v>
      </c>
      <c r="H671" s="40">
        <v>45751</v>
      </c>
      <c r="I671" s="31" t="str">
        <f t="shared" ca="1" si="22"/>
        <v/>
      </c>
      <c r="J671" s="31">
        <f t="shared" si="23"/>
        <v>669</v>
      </c>
    </row>
    <row r="672" spans="2:10" hidden="1">
      <c r="B672" s="31">
        <v>4</v>
      </c>
      <c r="C672" s="31" t="s">
        <v>116</v>
      </c>
      <c r="D672" s="31" t="b">
        <v>1</v>
      </c>
      <c r="E672" s="34" t="s">
        <v>1380</v>
      </c>
      <c r="F672" s="31" t="s">
        <v>1381</v>
      </c>
      <c r="G672" s="31" t="s">
        <v>1382</v>
      </c>
      <c r="H672" s="40">
        <v>45720</v>
      </c>
      <c r="I672" s="31" t="str">
        <f t="shared" ca="1" si="22"/>
        <v>●</v>
      </c>
      <c r="J672" s="31">
        <f t="shared" si="23"/>
        <v>670</v>
      </c>
    </row>
    <row r="673" spans="2:10" hidden="1">
      <c r="B673" s="31">
        <v>5</v>
      </c>
      <c r="D673" s="31" t="b">
        <v>1</v>
      </c>
      <c r="E673" s="34" t="s">
        <v>1383</v>
      </c>
      <c r="F673" s="31" t="s">
        <v>1384</v>
      </c>
      <c r="H673" s="40">
        <v>45751</v>
      </c>
      <c r="I673" s="31" t="str">
        <f t="shared" ca="1" si="22"/>
        <v/>
      </c>
      <c r="J673" s="31">
        <f t="shared" si="23"/>
        <v>671</v>
      </c>
    </row>
    <row r="674" spans="2:10" hidden="1">
      <c r="B674" s="31">
        <v>5</v>
      </c>
      <c r="D674" s="31" t="b">
        <v>1</v>
      </c>
      <c r="E674" s="34" t="s">
        <v>1385</v>
      </c>
      <c r="F674" s="31" t="s">
        <v>1386</v>
      </c>
      <c r="H674" s="40">
        <v>45751</v>
      </c>
      <c r="I674" s="31" t="str">
        <f t="shared" ca="1" si="22"/>
        <v/>
      </c>
      <c r="J674" s="31">
        <f t="shared" si="23"/>
        <v>672</v>
      </c>
    </row>
    <row r="675" spans="2:10">
      <c r="B675" s="31">
        <v>4</v>
      </c>
      <c r="D675" s="31" t="b">
        <v>1</v>
      </c>
      <c r="E675" s="34" t="s">
        <v>1387</v>
      </c>
      <c r="F675" s="31" t="s">
        <v>1388</v>
      </c>
      <c r="H675" s="40">
        <v>45711</v>
      </c>
      <c r="I675" s="31" t="str">
        <f t="shared" ca="1" si="22"/>
        <v>●</v>
      </c>
      <c r="J675" s="31">
        <f t="shared" si="23"/>
        <v>673</v>
      </c>
    </row>
    <row r="676" spans="2:10" hidden="1">
      <c r="B676" s="31">
        <v>5</v>
      </c>
      <c r="D676" s="31" t="b">
        <v>1</v>
      </c>
      <c r="E676" s="34" t="s">
        <v>1389</v>
      </c>
      <c r="F676" s="31" t="s">
        <v>1390</v>
      </c>
      <c r="H676" s="40">
        <v>45751</v>
      </c>
      <c r="I676" s="31" t="str">
        <f t="shared" ca="1" si="22"/>
        <v/>
      </c>
      <c r="J676" s="31">
        <f t="shared" si="23"/>
        <v>674</v>
      </c>
    </row>
    <row r="677" spans="2:10" hidden="1">
      <c r="B677" s="31">
        <v>5</v>
      </c>
      <c r="D677" s="31" t="b">
        <v>1</v>
      </c>
      <c r="E677" s="34" t="s">
        <v>1391</v>
      </c>
      <c r="F677" s="31" t="s">
        <v>1392</v>
      </c>
      <c r="H677" s="40">
        <v>45751</v>
      </c>
      <c r="I677" s="31" t="str">
        <f t="shared" ca="1" si="22"/>
        <v/>
      </c>
      <c r="J677" s="31">
        <f t="shared" si="23"/>
        <v>675</v>
      </c>
    </row>
    <row r="678" spans="2:10" hidden="1">
      <c r="B678" s="31">
        <v>5</v>
      </c>
      <c r="D678" s="31" t="b">
        <v>1</v>
      </c>
      <c r="E678" s="34" t="s">
        <v>1393</v>
      </c>
      <c r="F678" s="31" t="s">
        <v>1394</v>
      </c>
      <c r="H678" s="40">
        <v>45751</v>
      </c>
      <c r="I678" s="31" t="str">
        <f t="shared" ca="1" si="22"/>
        <v/>
      </c>
      <c r="J678" s="31">
        <f t="shared" si="23"/>
        <v>676</v>
      </c>
    </row>
    <row r="679" spans="2:10" hidden="1">
      <c r="B679" s="31">
        <v>5</v>
      </c>
      <c r="D679" s="31" t="b">
        <v>1</v>
      </c>
      <c r="E679" s="34" t="s">
        <v>1395</v>
      </c>
      <c r="F679" s="31" t="s">
        <v>1396</v>
      </c>
      <c r="H679" s="40">
        <v>45751</v>
      </c>
      <c r="I679" s="31" t="str">
        <f t="shared" ca="1" si="22"/>
        <v/>
      </c>
      <c r="J679" s="31">
        <f t="shared" si="23"/>
        <v>677</v>
      </c>
    </row>
    <row r="680" spans="2:10" hidden="1">
      <c r="B680" s="31">
        <v>5</v>
      </c>
      <c r="D680" s="31" t="b">
        <v>1</v>
      </c>
      <c r="E680" s="34" t="s">
        <v>1397</v>
      </c>
      <c r="F680" s="31" t="s">
        <v>1398</v>
      </c>
      <c r="H680" s="40">
        <v>45751</v>
      </c>
      <c r="I680" s="31" t="str">
        <f t="shared" ca="1" si="22"/>
        <v/>
      </c>
      <c r="J680" s="31">
        <f t="shared" si="23"/>
        <v>678</v>
      </c>
    </row>
    <row r="681" spans="2:10" hidden="1">
      <c r="B681" s="31">
        <v>5</v>
      </c>
      <c r="D681" s="31" t="b">
        <v>1</v>
      </c>
      <c r="E681" s="34" t="s">
        <v>1399</v>
      </c>
      <c r="F681" s="31" t="s">
        <v>1400</v>
      </c>
      <c r="H681" s="40">
        <v>45751</v>
      </c>
      <c r="I681" s="31" t="str">
        <f t="shared" ca="1" si="22"/>
        <v/>
      </c>
      <c r="J681" s="31">
        <f t="shared" si="23"/>
        <v>679</v>
      </c>
    </row>
    <row r="682" spans="2:10" hidden="1">
      <c r="B682" s="31">
        <v>5</v>
      </c>
      <c r="D682" s="31" t="b">
        <v>1</v>
      </c>
      <c r="E682" s="34" t="s">
        <v>1401</v>
      </c>
      <c r="F682" s="31" t="s">
        <v>1402</v>
      </c>
      <c r="H682" s="40">
        <v>45751</v>
      </c>
      <c r="I682" s="31" t="str">
        <f t="shared" ca="1" si="22"/>
        <v/>
      </c>
      <c r="J682" s="31">
        <f t="shared" si="23"/>
        <v>680</v>
      </c>
    </row>
    <row r="683" spans="2:10" hidden="1">
      <c r="B683" s="31">
        <v>5</v>
      </c>
      <c r="D683" s="31" t="b">
        <v>1</v>
      </c>
      <c r="E683" s="34" t="s">
        <v>1403</v>
      </c>
      <c r="F683" s="31" t="s">
        <v>1404</v>
      </c>
      <c r="H683" s="40">
        <v>45751</v>
      </c>
      <c r="I683" s="31" t="str">
        <f t="shared" ca="1" si="22"/>
        <v/>
      </c>
      <c r="J683" s="31">
        <f t="shared" si="23"/>
        <v>681</v>
      </c>
    </row>
    <row r="684" spans="2:10" hidden="1">
      <c r="B684" s="31">
        <v>4</v>
      </c>
      <c r="C684" s="31" t="s">
        <v>116</v>
      </c>
      <c r="D684" s="31" t="b">
        <v>0</v>
      </c>
      <c r="E684" s="34" t="s">
        <v>1405</v>
      </c>
      <c r="F684" s="31" t="s">
        <v>1406</v>
      </c>
      <c r="G684" s="31" t="s">
        <v>1407</v>
      </c>
      <c r="H684" s="40">
        <v>45720</v>
      </c>
      <c r="I684" s="31" t="str">
        <f t="shared" ca="1" si="22"/>
        <v>●</v>
      </c>
      <c r="J684" s="31">
        <f t="shared" si="23"/>
        <v>682</v>
      </c>
    </row>
    <row r="685" spans="2:10" hidden="1">
      <c r="B685" s="31">
        <v>5</v>
      </c>
      <c r="D685" s="31" t="b">
        <v>1</v>
      </c>
      <c r="E685" s="34" t="s">
        <v>1408</v>
      </c>
      <c r="F685" s="31" t="s">
        <v>1409</v>
      </c>
      <c r="H685" s="40">
        <v>45751</v>
      </c>
      <c r="I685" s="31" t="str">
        <f t="shared" ca="1" si="22"/>
        <v/>
      </c>
      <c r="J685" s="31">
        <f t="shared" si="23"/>
        <v>683</v>
      </c>
    </row>
    <row r="686" spans="2:10" hidden="1">
      <c r="B686" s="31">
        <v>5</v>
      </c>
      <c r="D686" s="31" t="b">
        <v>1</v>
      </c>
      <c r="E686" s="34" t="s">
        <v>1410</v>
      </c>
      <c r="F686" s="31" t="s">
        <v>1411</v>
      </c>
      <c r="H686" s="40">
        <v>45751</v>
      </c>
      <c r="I686" s="31" t="str">
        <f t="shared" ca="1" si="22"/>
        <v/>
      </c>
      <c r="J686" s="31">
        <f t="shared" si="23"/>
        <v>684</v>
      </c>
    </row>
    <row r="687" spans="2:10" hidden="1">
      <c r="B687" s="31">
        <v>5</v>
      </c>
      <c r="D687" s="31" t="b">
        <v>1</v>
      </c>
      <c r="E687" s="34" t="s">
        <v>1412</v>
      </c>
      <c r="F687" s="31" t="s">
        <v>1413</v>
      </c>
      <c r="H687" s="40">
        <v>45751</v>
      </c>
      <c r="I687" s="31" t="str">
        <f t="shared" ca="1" si="22"/>
        <v/>
      </c>
      <c r="J687" s="31">
        <f t="shared" si="23"/>
        <v>685</v>
      </c>
    </row>
    <row r="688" spans="2:10" hidden="1">
      <c r="B688" s="31">
        <v>5</v>
      </c>
      <c r="D688" s="31" t="b">
        <v>1</v>
      </c>
      <c r="E688" s="34" t="s">
        <v>1414</v>
      </c>
      <c r="F688" s="31" t="s">
        <v>1415</v>
      </c>
      <c r="H688" s="40">
        <v>45751</v>
      </c>
      <c r="I688" s="31" t="str">
        <f t="shared" ca="1" si="22"/>
        <v/>
      </c>
      <c r="J688" s="31">
        <f t="shared" si="23"/>
        <v>686</v>
      </c>
    </row>
    <row r="689" spans="2:10" hidden="1">
      <c r="B689" s="31">
        <v>5</v>
      </c>
      <c r="D689" s="31" t="b">
        <v>1</v>
      </c>
      <c r="E689" s="34" t="s">
        <v>1416</v>
      </c>
      <c r="F689" s="31" t="s">
        <v>1417</v>
      </c>
      <c r="H689" s="40">
        <v>45751</v>
      </c>
      <c r="I689" s="31" t="str">
        <f t="shared" ca="1" si="22"/>
        <v/>
      </c>
      <c r="J689" s="31">
        <f t="shared" si="23"/>
        <v>687</v>
      </c>
    </row>
    <row r="690" spans="2:10">
      <c r="B690" s="31">
        <v>4</v>
      </c>
      <c r="D690" s="31" t="b">
        <v>1</v>
      </c>
      <c r="E690" s="34" t="s">
        <v>1418</v>
      </c>
      <c r="F690" s="31" t="s">
        <v>1419</v>
      </c>
      <c r="H690" s="40">
        <v>45711</v>
      </c>
      <c r="I690" s="31" t="str">
        <f t="shared" ca="1" si="22"/>
        <v>●</v>
      </c>
      <c r="J690" s="31">
        <f t="shared" si="23"/>
        <v>688</v>
      </c>
    </row>
    <row r="691" spans="2:10" hidden="1">
      <c r="B691" s="31">
        <v>5</v>
      </c>
      <c r="D691" s="31" t="b">
        <v>1</v>
      </c>
      <c r="E691" s="34" t="s">
        <v>1420</v>
      </c>
      <c r="F691" s="31" t="s">
        <v>1421</v>
      </c>
      <c r="H691" s="40">
        <v>45751</v>
      </c>
      <c r="I691" s="31" t="str">
        <f t="shared" ca="1" si="22"/>
        <v/>
      </c>
      <c r="J691" s="31">
        <f t="shared" si="23"/>
        <v>689</v>
      </c>
    </row>
    <row r="692" spans="2:10" hidden="1">
      <c r="B692" s="31">
        <v>5</v>
      </c>
      <c r="D692" s="31" t="b">
        <v>1</v>
      </c>
      <c r="E692" s="34" t="s">
        <v>1422</v>
      </c>
      <c r="F692" s="31" t="s">
        <v>1423</v>
      </c>
      <c r="H692" s="40">
        <v>45751</v>
      </c>
      <c r="I692" s="31" t="str">
        <f t="shared" ca="1" si="22"/>
        <v/>
      </c>
      <c r="J692" s="31">
        <f t="shared" si="23"/>
        <v>690</v>
      </c>
    </row>
    <row r="693" spans="2:10" hidden="1">
      <c r="B693" s="31">
        <v>5</v>
      </c>
      <c r="D693" s="31" t="b">
        <v>1</v>
      </c>
      <c r="E693" s="34" t="s">
        <v>1424</v>
      </c>
      <c r="F693" s="31" t="s">
        <v>1425</v>
      </c>
      <c r="H693" s="40">
        <v>45751</v>
      </c>
      <c r="I693" s="31" t="str">
        <f t="shared" ca="1" si="22"/>
        <v/>
      </c>
      <c r="J693" s="31">
        <f t="shared" si="23"/>
        <v>691</v>
      </c>
    </row>
    <row r="694" spans="2:10" hidden="1">
      <c r="B694" s="31">
        <v>5</v>
      </c>
      <c r="D694" s="31" t="b">
        <v>1</v>
      </c>
      <c r="E694" s="34" t="s">
        <v>1426</v>
      </c>
      <c r="F694" s="31" t="s">
        <v>1427</v>
      </c>
      <c r="H694" s="40">
        <v>45751</v>
      </c>
      <c r="I694" s="31" t="str">
        <f t="shared" ca="1" si="22"/>
        <v/>
      </c>
      <c r="J694" s="31">
        <f t="shared" si="23"/>
        <v>692</v>
      </c>
    </row>
    <row r="695" spans="2:10" hidden="1">
      <c r="B695" s="31">
        <v>4</v>
      </c>
      <c r="C695" s="31" t="s">
        <v>116</v>
      </c>
      <c r="D695" s="31" t="b">
        <v>0</v>
      </c>
      <c r="E695" s="34" t="s">
        <v>1428</v>
      </c>
      <c r="F695" s="31" t="s">
        <v>1429</v>
      </c>
      <c r="G695" s="31" t="s">
        <v>1430</v>
      </c>
      <c r="H695" s="40">
        <v>45720</v>
      </c>
      <c r="I695" s="31" t="str">
        <f t="shared" ca="1" si="22"/>
        <v>●</v>
      </c>
      <c r="J695" s="31">
        <f t="shared" si="23"/>
        <v>693</v>
      </c>
    </row>
    <row r="696" spans="2:10" hidden="1">
      <c r="B696" s="31">
        <v>5</v>
      </c>
      <c r="D696" s="31" t="b">
        <v>1</v>
      </c>
      <c r="E696" s="34" t="s">
        <v>1431</v>
      </c>
      <c r="F696" s="31" t="s">
        <v>1432</v>
      </c>
      <c r="H696" s="40">
        <v>45751</v>
      </c>
      <c r="I696" s="31" t="str">
        <f t="shared" ca="1" si="22"/>
        <v/>
      </c>
      <c r="J696" s="31">
        <f t="shared" si="23"/>
        <v>694</v>
      </c>
    </row>
    <row r="697" spans="2:10">
      <c r="B697" s="31">
        <v>4</v>
      </c>
      <c r="D697" s="31" t="b">
        <v>1</v>
      </c>
      <c r="E697" s="34" t="s">
        <v>1433</v>
      </c>
      <c r="F697" s="31" t="s">
        <v>1434</v>
      </c>
      <c r="H697" s="40">
        <v>45711</v>
      </c>
      <c r="I697" s="31" t="str">
        <f t="shared" ca="1" si="22"/>
        <v>●</v>
      </c>
      <c r="J697" s="31">
        <f t="shared" si="23"/>
        <v>695</v>
      </c>
    </row>
    <row r="698" spans="2:10" hidden="1">
      <c r="B698" s="31">
        <v>4</v>
      </c>
      <c r="C698" s="31" t="s">
        <v>116</v>
      </c>
      <c r="D698" s="31" t="b">
        <v>1</v>
      </c>
      <c r="E698" s="34" t="s">
        <v>1435</v>
      </c>
      <c r="F698" s="31" t="s">
        <v>1436</v>
      </c>
      <c r="H698" s="40">
        <v>45720</v>
      </c>
      <c r="I698" s="31" t="str">
        <f t="shared" ca="1" si="22"/>
        <v>●</v>
      </c>
      <c r="J698" s="31">
        <f t="shared" si="23"/>
        <v>696</v>
      </c>
    </row>
    <row r="699" spans="2:10" hidden="1">
      <c r="B699" s="31">
        <v>4</v>
      </c>
      <c r="C699" s="31" t="s">
        <v>116</v>
      </c>
      <c r="D699" s="31" t="b">
        <v>1</v>
      </c>
      <c r="E699" s="34" t="s">
        <v>1437</v>
      </c>
      <c r="F699" s="31" t="s">
        <v>1438</v>
      </c>
      <c r="G699" s="31" t="s">
        <v>1439</v>
      </c>
      <c r="H699" s="40">
        <v>45720</v>
      </c>
      <c r="I699" s="31" t="str">
        <f t="shared" ca="1" si="22"/>
        <v>●</v>
      </c>
      <c r="J699" s="31">
        <f t="shared" si="23"/>
        <v>697</v>
      </c>
    </row>
    <row r="700" spans="2:10" hidden="1">
      <c r="B700" s="31">
        <v>4</v>
      </c>
      <c r="C700" s="31" t="s">
        <v>116</v>
      </c>
      <c r="D700" s="31" t="b">
        <v>1</v>
      </c>
      <c r="E700" s="34" t="s">
        <v>1440</v>
      </c>
      <c r="F700" s="31" t="s">
        <v>1441</v>
      </c>
      <c r="G700" s="31" t="s">
        <v>384</v>
      </c>
      <c r="H700" s="40">
        <v>45720</v>
      </c>
      <c r="I700" s="31" t="str">
        <f t="shared" ca="1" si="22"/>
        <v>●</v>
      </c>
      <c r="J700" s="31">
        <f t="shared" si="23"/>
        <v>698</v>
      </c>
    </row>
    <row r="701" spans="2:10" hidden="1">
      <c r="B701" s="31">
        <v>4</v>
      </c>
      <c r="C701" s="31" t="s">
        <v>116</v>
      </c>
      <c r="D701" s="31" t="b">
        <v>1</v>
      </c>
      <c r="E701" s="34" t="s">
        <v>1442</v>
      </c>
      <c r="F701" s="31" t="s">
        <v>1443</v>
      </c>
      <c r="G701" s="31" t="s">
        <v>1444</v>
      </c>
      <c r="H701" s="40">
        <v>45720</v>
      </c>
      <c r="I701" s="31" t="str">
        <f t="shared" ca="1" si="22"/>
        <v>●</v>
      </c>
      <c r="J701" s="31">
        <f t="shared" si="23"/>
        <v>699</v>
      </c>
    </row>
    <row r="702" spans="2:10" hidden="1">
      <c r="B702" s="31">
        <v>4</v>
      </c>
      <c r="C702" s="31" t="s">
        <v>116</v>
      </c>
      <c r="D702" s="31" t="b">
        <v>1</v>
      </c>
      <c r="E702" s="34" t="s">
        <v>1445</v>
      </c>
      <c r="F702" s="31" t="s">
        <v>1446</v>
      </c>
      <c r="G702" s="31" t="s">
        <v>1447</v>
      </c>
      <c r="H702" s="40">
        <v>45720</v>
      </c>
      <c r="I702" s="31" t="str">
        <f t="shared" ca="1" si="22"/>
        <v>●</v>
      </c>
      <c r="J702" s="31">
        <f t="shared" si="23"/>
        <v>700</v>
      </c>
    </row>
    <row r="703" spans="2:10" hidden="1">
      <c r="B703" s="31">
        <v>4</v>
      </c>
      <c r="C703" s="31" t="s">
        <v>116</v>
      </c>
      <c r="D703" s="31" t="b">
        <v>1</v>
      </c>
      <c r="E703" s="34" t="s">
        <v>1448</v>
      </c>
      <c r="F703" s="31" t="s">
        <v>1449</v>
      </c>
      <c r="G703" s="31" t="s">
        <v>1450</v>
      </c>
      <c r="H703" s="40">
        <v>45720</v>
      </c>
      <c r="I703" s="31" t="str">
        <f t="shared" ca="1" si="22"/>
        <v>●</v>
      </c>
      <c r="J703" s="31">
        <f t="shared" si="23"/>
        <v>701</v>
      </c>
    </row>
    <row r="704" spans="2:10" hidden="1">
      <c r="B704" s="31">
        <v>4</v>
      </c>
      <c r="C704" s="31" t="s">
        <v>116</v>
      </c>
      <c r="D704" s="31" t="b">
        <v>1</v>
      </c>
      <c r="E704" s="34" t="s">
        <v>1451</v>
      </c>
      <c r="F704" s="31" t="s">
        <v>1452</v>
      </c>
      <c r="H704" s="40">
        <v>45720</v>
      </c>
      <c r="I704" s="31" t="str">
        <f t="shared" ca="1" si="22"/>
        <v>●</v>
      </c>
      <c r="J704" s="31">
        <f t="shared" si="23"/>
        <v>702</v>
      </c>
    </row>
    <row r="705" spans="2:10">
      <c r="B705" s="31">
        <v>4</v>
      </c>
      <c r="D705" s="31" t="b">
        <v>1</v>
      </c>
      <c r="E705" s="34" t="s">
        <v>1453</v>
      </c>
      <c r="F705" s="31" t="s">
        <v>1454</v>
      </c>
      <c r="H705" s="40">
        <v>45711</v>
      </c>
      <c r="I705" s="31" t="str">
        <f t="shared" ca="1" si="22"/>
        <v>●</v>
      </c>
      <c r="J705" s="31">
        <f t="shared" si="23"/>
        <v>703</v>
      </c>
    </row>
    <row r="706" spans="2:10">
      <c r="B706" s="31">
        <v>4</v>
      </c>
      <c r="D706" s="31" t="b">
        <v>1</v>
      </c>
      <c r="E706" s="34" t="s">
        <v>1455</v>
      </c>
      <c r="F706" s="31" t="s">
        <v>1456</v>
      </c>
      <c r="H706" s="40">
        <v>45711</v>
      </c>
      <c r="I706" s="31" t="str">
        <f t="shared" ca="1" si="22"/>
        <v>●</v>
      </c>
      <c r="J706" s="31">
        <f t="shared" si="23"/>
        <v>704</v>
      </c>
    </row>
    <row r="707" spans="2:10">
      <c r="B707" s="31">
        <v>4</v>
      </c>
      <c r="D707" s="31" t="b">
        <v>1</v>
      </c>
      <c r="E707" s="34" t="s">
        <v>1457</v>
      </c>
      <c r="F707" s="31" t="s">
        <v>1458</v>
      </c>
      <c r="H707" s="40">
        <v>45711</v>
      </c>
      <c r="I707" s="31" t="str">
        <f t="shared" ca="1" si="22"/>
        <v>●</v>
      </c>
      <c r="J707" s="31">
        <f t="shared" si="23"/>
        <v>705</v>
      </c>
    </row>
    <row r="708" spans="2:10" hidden="1">
      <c r="B708" s="31">
        <v>4</v>
      </c>
      <c r="C708" s="31" t="s">
        <v>116</v>
      </c>
      <c r="D708" s="35" t="b">
        <v>1</v>
      </c>
      <c r="E708" s="34" t="s">
        <v>1459</v>
      </c>
      <c r="F708" s="31" t="s">
        <v>1460</v>
      </c>
      <c r="H708" s="40">
        <v>45720</v>
      </c>
      <c r="I708" s="31" t="str">
        <f t="shared" ca="1" si="22"/>
        <v>●</v>
      </c>
      <c r="J708" s="31">
        <f t="shared" si="23"/>
        <v>706</v>
      </c>
    </row>
    <row r="709" spans="2:10" hidden="1">
      <c r="B709" s="31">
        <v>4</v>
      </c>
      <c r="C709" s="31" t="s">
        <v>116</v>
      </c>
      <c r="D709" s="35" t="b">
        <v>0</v>
      </c>
      <c r="E709" s="34" t="s">
        <v>1459</v>
      </c>
      <c r="F709" s="31" t="s">
        <v>1461</v>
      </c>
      <c r="H709" s="40">
        <v>45720</v>
      </c>
      <c r="I709" s="31" t="str">
        <f t="shared" ca="1" si="22"/>
        <v>●</v>
      </c>
      <c r="J709" s="31">
        <f t="shared" si="23"/>
        <v>707</v>
      </c>
    </row>
    <row r="710" spans="2:10">
      <c r="B710" s="31">
        <v>4</v>
      </c>
      <c r="D710" s="31" t="b">
        <v>1</v>
      </c>
      <c r="E710" s="34" t="s">
        <v>1462</v>
      </c>
      <c r="F710" s="31" t="s">
        <v>1463</v>
      </c>
      <c r="H710" s="40">
        <v>45711</v>
      </c>
      <c r="I710" s="31" t="str">
        <f t="shared" ca="1" si="22"/>
        <v>●</v>
      </c>
      <c r="J710" s="31">
        <f t="shared" si="23"/>
        <v>708</v>
      </c>
    </row>
    <row r="711" spans="2:10">
      <c r="B711" s="31">
        <v>4</v>
      </c>
      <c r="D711" s="31" t="b">
        <v>1</v>
      </c>
      <c r="E711" s="34" t="s">
        <v>1464</v>
      </c>
      <c r="F711" s="31" t="s">
        <v>1465</v>
      </c>
      <c r="H711" s="40">
        <v>45711</v>
      </c>
      <c r="I711" s="31" t="str">
        <f t="shared" ca="1" si="22"/>
        <v>●</v>
      </c>
      <c r="J711" s="31">
        <f t="shared" si="23"/>
        <v>709</v>
      </c>
    </row>
    <row r="712" spans="2:10">
      <c r="B712" s="31">
        <v>4</v>
      </c>
      <c r="D712" s="31" t="b">
        <v>1</v>
      </c>
      <c r="E712" s="34" t="s">
        <v>1466</v>
      </c>
      <c r="F712" s="31" t="s">
        <v>1467</v>
      </c>
      <c r="H712" s="40">
        <v>45711</v>
      </c>
      <c r="I712" s="31" t="str">
        <f t="shared" ca="1" si="22"/>
        <v>●</v>
      </c>
      <c r="J712" s="31">
        <f t="shared" si="23"/>
        <v>710</v>
      </c>
    </row>
    <row r="713" spans="2:10">
      <c r="B713" s="31">
        <v>4</v>
      </c>
      <c r="D713" s="31" t="b">
        <v>1</v>
      </c>
      <c r="E713" s="34" t="s">
        <v>1468</v>
      </c>
      <c r="F713" s="31" t="s">
        <v>1469</v>
      </c>
      <c r="H713" s="40">
        <v>45711</v>
      </c>
      <c r="I713" s="31" t="str">
        <f t="shared" ca="1" si="22"/>
        <v>●</v>
      </c>
      <c r="J713" s="31">
        <f t="shared" si="23"/>
        <v>711</v>
      </c>
    </row>
    <row r="714" spans="2:10">
      <c r="B714" s="31">
        <v>4</v>
      </c>
      <c r="D714" s="31" t="b">
        <v>1</v>
      </c>
      <c r="E714" s="34" t="s">
        <v>1470</v>
      </c>
      <c r="F714" s="31" t="s">
        <v>1471</v>
      </c>
      <c r="H714" s="40">
        <v>45711</v>
      </c>
      <c r="I714" s="31" t="str">
        <f t="shared" ca="1" si="22"/>
        <v>●</v>
      </c>
      <c r="J714" s="31">
        <f t="shared" si="23"/>
        <v>712</v>
      </c>
    </row>
    <row r="715" spans="2:10">
      <c r="B715" s="31">
        <v>4</v>
      </c>
      <c r="D715" s="31" t="b">
        <v>1</v>
      </c>
      <c r="E715" s="34" t="s">
        <v>1472</v>
      </c>
      <c r="F715" s="31" t="s">
        <v>1473</v>
      </c>
      <c r="H715" s="40">
        <v>45711</v>
      </c>
      <c r="I715" s="31" t="str">
        <f t="shared" ca="1" si="22"/>
        <v>●</v>
      </c>
      <c r="J715" s="31">
        <f t="shared" si="23"/>
        <v>713</v>
      </c>
    </row>
    <row r="716" spans="2:10">
      <c r="B716" s="31">
        <v>4</v>
      </c>
      <c r="D716" s="31" t="b">
        <v>1</v>
      </c>
      <c r="E716" s="34" t="s">
        <v>1474</v>
      </c>
      <c r="F716" s="31" t="s">
        <v>1475</v>
      </c>
      <c r="G716" s="31" t="s">
        <v>1476</v>
      </c>
      <c r="H716" s="40">
        <v>45723</v>
      </c>
      <c r="I716" s="31" t="str">
        <f t="shared" ca="1" si="22"/>
        <v>●</v>
      </c>
      <c r="J716" s="31">
        <f t="shared" si="23"/>
        <v>714</v>
      </c>
    </row>
    <row r="717" spans="2:10">
      <c r="B717" s="31">
        <v>4</v>
      </c>
      <c r="D717" s="31" t="b">
        <v>1</v>
      </c>
      <c r="E717" s="34" t="s">
        <v>1477</v>
      </c>
      <c r="F717" s="31" t="s">
        <v>1478</v>
      </c>
      <c r="G717" s="31" t="s">
        <v>1479</v>
      </c>
      <c r="H717" s="40">
        <v>45723</v>
      </c>
      <c r="I717" s="31" t="str">
        <f t="shared" ca="1" si="22"/>
        <v>●</v>
      </c>
      <c r="J717" s="31">
        <f t="shared" si="23"/>
        <v>715</v>
      </c>
    </row>
    <row r="718" spans="2:10">
      <c r="B718" s="31">
        <v>4</v>
      </c>
      <c r="D718" s="31" t="b">
        <v>1</v>
      </c>
      <c r="E718" s="34" t="s">
        <v>1480</v>
      </c>
      <c r="F718" s="31" t="s">
        <v>1481</v>
      </c>
      <c r="G718" s="31" t="s">
        <v>1482</v>
      </c>
      <c r="H718" s="40">
        <v>45723</v>
      </c>
      <c r="I718" s="31" t="str">
        <f t="shared" ca="1" si="22"/>
        <v>●</v>
      </c>
      <c r="J718" s="31">
        <f t="shared" si="23"/>
        <v>716</v>
      </c>
    </row>
    <row r="719" spans="2:10">
      <c r="B719" s="31">
        <v>4</v>
      </c>
      <c r="D719" s="31" t="b">
        <v>1</v>
      </c>
      <c r="E719" s="34" t="s">
        <v>1483</v>
      </c>
      <c r="F719" s="31" t="s">
        <v>1484</v>
      </c>
      <c r="H719" s="40">
        <v>45720</v>
      </c>
      <c r="I719" s="31" t="str">
        <f t="shared" ca="1" si="22"/>
        <v>●</v>
      </c>
      <c r="J719" s="31">
        <f t="shared" si="23"/>
        <v>717</v>
      </c>
    </row>
    <row r="720" spans="2:10">
      <c r="B720" s="31">
        <v>4</v>
      </c>
      <c r="D720" s="31" t="b">
        <v>1</v>
      </c>
      <c r="E720" s="34" t="s">
        <v>1485</v>
      </c>
      <c r="F720" s="31" t="s">
        <v>1486</v>
      </c>
      <c r="H720" s="40">
        <v>45720</v>
      </c>
      <c r="I720" s="31" t="str">
        <f t="shared" ca="1" si="22"/>
        <v>●</v>
      </c>
      <c r="J720" s="31">
        <f t="shared" si="23"/>
        <v>718</v>
      </c>
    </row>
    <row r="721" spans="2:10">
      <c r="B721" s="31">
        <v>4</v>
      </c>
      <c r="D721" s="31" t="b">
        <v>1</v>
      </c>
      <c r="E721" s="34" t="s">
        <v>1487</v>
      </c>
      <c r="F721" s="31" t="s">
        <v>1488</v>
      </c>
      <c r="H721" s="40">
        <v>45720</v>
      </c>
      <c r="I721" s="31" t="str">
        <f t="shared" ca="1" si="22"/>
        <v>●</v>
      </c>
      <c r="J721" s="31">
        <f t="shared" si="23"/>
        <v>719</v>
      </c>
    </row>
    <row r="722" spans="2:10">
      <c r="B722" s="31">
        <v>4</v>
      </c>
      <c r="D722" s="31" t="b">
        <v>1</v>
      </c>
      <c r="E722" s="34" t="s">
        <v>1489</v>
      </c>
      <c r="F722" s="31" t="s">
        <v>1490</v>
      </c>
      <c r="H722" s="40">
        <v>45710</v>
      </c>
      <c r="I722" s="31" t="str">
        <f t="shared" ref="I722:I785" ca="1" si="24">IF(H722-$G$1&lt;=0,"●","")</f>
        <v>●</v>
      </c>
      <c r="J722" s="31">
        <f t="shared" ref="J722:J785" si="25">ROW()-2</f>
        <v>720</v>
      </c>
    </row>
    <row r="723" spans="2:10">
      <c r="B723" s="31">
        <v>4</v>
      </c>
      <c r="D723" s="31" t="b">
        <v>1</v>
      </c>
      <c r="E723" s="34" t="s">
        <v>1491</v>
      </c>
      <c r="F723" s="31" t="s">
        <v>1492</v>
      </c>
      <c r="H723" s="40">
        <v>45710</v>
      </c>
      <c r="I723" s="31" t="str">
        <f t="shared" ca="1" si="24"/>
        <v>●</v>
      </c>
      <c r="J723" s="31">
        <f t="shared" si="25"/>
        <v>721</v>
      </c>
    </row>
    <row r="724" spans="2:10">
      <c r="B724" s="31">
        <v>4</v>
      </c>
      <c r="D724" s="31" t="b">
        <v>1</v>
      </c>
      <c r="E724" s="34" t="s">
        <v>1493</v>
      </c>
      <c r="F724" s="31" t="s">
        <v>1494</v>
      </c>
      <c r="H724" s="40">
        <v>45710</v>
      </c>
      <c r="I724" s="31" t="str">
        <f t="shared" ca="1" si="24"/>
        <v>●</v>
      </c>
      <c r="J724" s="31">
        <f t="shared" si="25"/>
        <v>722</v>
      </c>
    </row>
    <row r="725" spans="2:10">
      <c r="B725" s="31">
        <v>4</v>
      </c>
      <c r="D725" s="31" t="b">
        <v>1</v>
      </c>
      <c r="E725" s="34" t="s">
        <v>1495</v>
      </c>
      <c r="F725" s="31" t="s">
        <v>1496</v>
      </c>
      <c r="H725" s="40">
        <v>45710</v>
      </c>
      <c r="I725" s="31" t="str">
        <f t="shared" ca="1" si="24"/>
        <v>●</v>
      </c>
      <c r="J725" s="31">
        <f t="shared" si="25"/>
        <v>723</v>
      </c>
    </row>
    <row r="726" spans="2:10" hidden="1">
      <c r="B726" s="31">
        <v>4</v>
      </c>
      <c r="D726" s="31" t="b">
        <v>1</v>
      </c>
      <c r="E726" s="34" t="s">
        <v>1497</v>
      </c>
      <c r="F726" s="31" t="s">
        <v>1498</v>
      </c>
      <c r="H726" s="40">
        <v>45741</v>
      </c>
      <c r="I726" s="31" t="str">
        <f t="shared" ca="1" si="24"/>
        <v>●</v>
      </c>
      <c r="J726" s="31">
        <f t="shared" si="25"/>
        <v>724</v>
      </c>
    </row>
    <row r="727" spans="2:10">
      <c r="B727" s="31">
        <v>4</v>
      </c>
      <c r="D727" s="31" t="b">
        <v>1</v>
      </c>
      <c r="E727" s="34" t="s">
        <v>1499</v>
      </c>
      <c r="F727" s="31" t="s">
        <v>1500</v>
      </c>
      <c r="H727" s="40">
        <v>45710</v>
      </c>
      <c r="I727" s="31" t="str">
        <f t="shared" ca="1" si="24"/>
        <v>●</v>
      </c>
      <c r="J727" s="31">
        <f t="shared" si="25"/>
        <v>725</v>
      </c>
    </row>
    <row r="728" spans="2:10" hidden="1">
      <c r="B728" s="31">
        <v>5</v>
      </c>
      <c r="D728" s="31" t="b">
        <v>1</v>
      </c>
      <c r="E728" s="34" t="s">
        <v>1501</v>
      </c>
      <c r="F728" s="31" t="s">
        <v>1502</v>
      </c>
      <c r="H728" s="40">
        <v>45751</v>
      </c>
      <c r="I728" s="31" t="str">
        <f t="shared" ca="1" si="24"/>
        <v/>
      </c>
      <c r="J728" s="31">
        <f t="shared" si="25"/>
        <v>726</v>
      </c>
    </row>
    <row r="729" spans="2:10" hidden="1">
      <c r="B729" s="31">
        <v>5</v>
      </c>
      <c r="D729" s="31" t="b">
        <v>1</v>
      </c>
      <c r="E729" s="34" t="s">
        <v>1503</v>
      </c>
      <c r="F729" s="31" t="s">
        <v>1504</v>
      </c>
      <c r="H729" s="40">
        <v>45751</v>
      </c>
      <c r="I729" s="31" t="str">
        <f t="shared" ca="1" si="24"/>
        <v/>
      </c>
      <c r="J729" s="31">
        <f t="shared" si="25"/>
        <v>727</v>
      </c>
    </row>
    <row r="730" spans="2:10">
      <c r="B730" s="31">
        <v>4</v>
      </c>
      <c r="D730" s="31" t="b">
        <v>1</v>
      </c>
      <c r="E730" s="34" t="s">
        <v>1505</v>
      </c>
      <c r="F730" s="31" t="s">
        <v>1506</v>
      </c>
      <c r="H730" s="40">
        <v>45710</v>
      </c>
      <c r="I730" s="31" t="str">
        <f t="shared" ca="1" si="24"/>
        <v>●</v>
      </c>
      <c r="J730" s="31">
        <f t="shared" si="25"/>
        <v>728</v>
      </c>
    </row>
    <row r="731" spans="2:10">
      <c r="B731" s="31">
        <v>4</v>
      </c>
      <c r="D731" s="31" t="b">
        <v>1</v>
      </c>
      <c r="E731" s="34" t="s">
        <v>1507</v>
      </c>
      <c r="F731" s="31" t="s">
        <v>1508</v>
      </c>
      <c r="H731" s="40">
        <v>45710</v>
      </c>
      <c r="I731" s="31" t="str">
        <f t="shared" ca="1" si="24"/>
        <v>●</v>
      </c>
      <c r="J731" s="31">
        <f t="shared" si="25"/>
        <v>729</v>
      </c>
    </row>
    <row r="732" spans="2:10">
      <c r="B732" s="31">
        <v>4</v>
      </c>
      <c r="D732" s="31" t="b">
        <v>1</v>
      </c>
      <c r="E732" s="34" t="s">
        <v>1509</v>
      </c>
      <c r="F732" s="31" t="s">
        <v>1510</v>
      </c>
      <c r="H732" s="40">
        <v>45710</v>
      </c>
      <c r="I732" s="31" t="str">
        <f t="shared" ca="1" si="24"/>
        <v>●</v>
      </c>
      <c r="J732" s="31">
        <f t="shared" si="25"/>
        <v>730</v>
      </c>
    </row>
    <row r="733" spans="2:10">
      <c r="B733" s="31">
        <v>4</v>
      </c>
      <c r="D733" s="31" t="b">
        <v>1</v>
      </c>
      <c r="E733" s="34" t="s">
        <v>1511</v>
      </c>
      <c r="F733" s="31" t="s">
        <v>1512</v>
      </c>
      <c r="H733" s="40">
        <v>45710</v>
      </c>
      <c r="I733" s="31" t="str">
        <f t="shared" ca="1" si="24"/>
        <v>●</v>
      </c>
      <c r="J733" s="31">
        <f t="shared" si="25"/>
        <v>731</v>
      </c>
    </row>
    <row r="734" spans="2:10">
      <c r="B734" s="31">
        <v>4</v>
      </c>
      <c r="D734" s="31" t="b">
        <v>1</v>
      </c>
      <c r="E734" s="34" t="s">
        <v>1513</v>
      </c>
      <c r="F734" s="31" t="s">
        <v>1514</v>
      </c>
      <c r="H734" s="40">
        <v>45710</v>
      </c>
      <c r="I734" s="31" t="str">
        <f t="shared" ca="1" si="24"/>
        <v>●</v>
      </c>
      <c r="J734" s="31">
        <f t="shared" si="25"/>
        <v>732</v>
      </c>
    </row>
    <row r="735" spans="2:10">
      <c r="B735" s="31">
        <v>4</v>
      </c>
      <c r="D735" s="31" t="b">
        <v>1</v>
      </c>
      <c r="E735" s="34" t="s">
        <v>1515</v>
      </c>
      <c r="F735" s="31" t="s">
        <v>1516</v>
      </c>
      <c r="H735" s="40">
        <v>45710</v>
      </c>
      <c r="I735" s="31" t="str">
        <f t="shared" ca="1" si="24"/>
        <v>●</v>
      </c>
      <c r="J735" s="31">
        <f t="shared" si="25"/>
        <v>733</v>
      </c>
    </row>
    <row r="736" spans="2:10">
      <c r="B736" s="31">
        <v>4</v>
      </c>
      <c r="D736" s="31" t="b">
        <v>1</v>
      </c>
      <c r="E736" s="34" t="s">
        <v>1517</v>
      </c>
      <c r="F736" s="31" t="s">
        <v>1518</v>
      </c>
      <c r="H736" s="40">
        <v>45710</v>
      </c>
      <c r="I736" s="31" t="str">
        <f t="shared" ca="1" si="24"/>
        <v>●</v>
      </c>
      <c r="J736" s="31">
        <f t="shared" si="25"/>
        <v>734</v>
      </c>
    </row>
    <row r="737" spans="2:10" hidden="1">
      <c r="B737" s="31">
        <v>4</v>
      </c>
      <c r="C737" s="31" t="s">
        <v>116</v>
      </c>
      <c r="D737" s="31" t="b">
        <v>1</v>
      </c>
      <c r="E737" s="34" t="s">
        <v>1519</v>
      </c>
      <c r="F737" s="31" t="s">
        <v>1520</v>
      </c>
      <c r="H737" s="40">
        <v>45720</v>
      </c>
      <c r="I737" s="31" t="str">
        <f t="shared" ca="1" si="24"/>
        <v>●</v>
      </c>
      <c r="J737" s="31">
        <f t="shared" si="25"/>
        <v>735</v>
      </c>
    </row>
    <row r="738" spans="2:10" hidden="1">
      <c r="B738" s="31">
        <v>4</v>
      </c>
      <c r="C738" s="31" t="s">
        <v>116</v>
      </c>
      <c r="D738" s="31" t="b">
        <v>1</v>
      </c>
      <c r="E738" s="34" t="s">
        <v>1521</v>
      </c>
      <c r="F738" s="31" t="s">
        <v>1522</v>
      </c>
      <c r="H738" s="40">
        <v>45720</v>
      </c>
      <c r="I738" s="31" t="str">
        <f t="shared" ca="1" si="24"/>
        <v>●</v>
      </c>
      <c r="J738" s="31">
        <f t="shared" si="25"/>
        <v>736</v>
      </c>
    </row>
    <row r="739" spans="2:10" hidden="1">
      <c r="B739" s="31">
        <v>4</v>
      </c>
      <c r="C739" s="31" t="s">
        <v>116</v>
      </c>
      <c r="D739" s="31" t="b">
        <v>1</v>
      </c>
      <c r="E739" s="34" t="s">
        <v>1523</v>
      </c>
      <c r="F739" s="31" t="s">
        <v>1524</v>
      </c>
      <c r="G739" s="31" t="s">
        <v>1525</v>
      </c>
      <c r="H739" s="40">
        <v>45720</v>
      </c>
      <c r="I739" s="31" t="str">
        <f t="shared" ca="1" si="24"/>
        <v>●</v>
      </c>
      <c r="J739" s="31">
        <f t="shared" si="25"/>
        <v>737</v>
      </c>
    </row>
    <row r="740" spans="2:10" hidden="1">
      <c r="B740" s="31">
        <v>4</v>
      </c>
      <c r="C740" s="31" t="s">
        <v>116</v>
      </c>
      <c r="D740" s="31" t="b">
        <v>0</v>
      </c>
      <c r="E740" s="34" t="s">
        <v>1526</v>
      </c>
      <c r="F740" s="31" t="s">
        <v>1527</v>
      </c>
      <c r="H740" s="40">
        <v>45720</v>
      </c>
      <c r="I740" s="31" t="str">
        <f t="shared" ca="1" si="24"/>
        <v>●</v>
      </c>
      <c r="J740" s="31">
        <f t="shared" si="25"/>
        <v>738</v>
      </c>
    </row>
    <row r="741" spans="2:10">
      <c r="B741" s="31">
        <v>4</v>
      </c>
      <c r="D741" s="31" t="b">
        <v>1</v>
      </c>
      <c r="E741" s="34" t="s">
        <v>1528</v>
      </c>
      <c r="F741" s="31" t="s">
        <v>1529</v>
      </c>
      <c r="H741" s="40">
        <v>45710</v>
      </c>
      <c r="I741" s="31" t="str">
        <f t="shared" ca="1" si="24"/>
        <v>●</v>
      </c>
      <c r="J741" s="31">
        <f t="shared" si="25"/>
        <v>739</v>
      </c>
    </row>
    <row r="742" spans="2:10" hidden="1">
      <c r="B742" s="31">
        <v>4</v>
      </c>
      <c r="C742" s="31" t="s">
        <v>116</v>
      </c>
      <c r="D742" s="31" t="b">
        <v>1</v>
      </c>
      <c r="E742" s="34" t="s">
        <v>1530</v>
      </c>
      <c r="F742" s="31" t="s">
        <v>1531</v>
      </c>
      <c r="G742" s="31" t="s">
        <v>1532</v>
      </c>
      <c r="H742" s="40">
        <v>45720</v>
      </c>
      <c r="I742" s="31" t="str">
        <f t="shared" ca="1" si="24"/>
        <v>●</v>
      </c>
      <c r="J742" s="31">
        <f t="shared" si="25"/>
        <v>740</v>
      </c>
    </row>
    <row r="743" spans="2:10" hidden="1">
      <c r="B743" s="31">
        <v>4</v>
      </c>
      <c r="C743" s="31" t="s">
        <v>116</v>
      </c>
      <c r="D743" s="31" t="b">
        <v>1</v>
      </c>
      <c r="E743" s="34" t="s">
        <v>1533</v>
      </c>
      <c r="F743" s="31" t="s">
        <v>1534</v>
      </c>
      <c r="H743" s="40">
        <v>45720</v>
      </c>
      <c r="I743" s="31" t="str">
        <f t="shared" ca="1" si="24"/>
        <v>●</v>
      </c>
      <c r="J743" s="31">
        <f t="shared" si="25"/>
        <v>741</v>
      </c>
    </row>
    <row r="744" spans="2:10">
      <c r="B744" s="31">
        <v>4</v>
      </c>
      <c r="D744" s="31" t="b">
        <v>1</v>
      </c>
      <c r="E744" s="34" t="s">
        <v>1535</v>
      </c>
      <c r="F744" s="31" t="s">
        <v>1536</v>
      </c>
      <c r="H744" s="40">
        <v>45710</v>
      </c>
      <c r="I744" s="31" t="str">
        <f t="shared" ca="1" si="24"/>
        <v>●</v>
      </c>
      <c r="J744" s="31">
        <f t="shared" si="25"/>
        <v>742</v>
      </c>
    </row>
    <row r="745" spans="2:10">
      <c r="B745" s="31">
        <v>4</v>
      </c>
      <c r="D745" s="31" t="b">
        <v>1</v>
      </c>
      <c r="E745" s="34" t="s">
        <v>1537</v>
      </c>
      <c r="F745" s="31" t="s">
        <v>1538</v>
      </c>
      <c r="G745" s="31" t="s">
        <v>1539</v>
      </c>
      <c r="H745" s="40">
        <v>45723</v>
      </c>
      <c r="I745" s="31" t="str">
        <f t="shared" ca="1" si="24"/>
        <v>●</v>
      </c>
      <c r="J745" s="31">
        <f t="shared" si="25"/>
        <v>743</v>
      </c>
    </row>
    <row r="746" spans="2:10">
      <c r="B746" s="31">
        <v>4</v>
      </c>
      <c r="D746" s="31" t="b">
        <v>1</v>
      </c>
      <c r="E746" s="34" t="s">
        <v>1540</v>
      </c>
      <c r="F746" s="31" t="s">
        <v>1541</v>
      </c>
      <c r="H746" s="40">
        <v>45710</v>
      </c>
      <c r="I746" s="31" t="str">
        <f t="shared" ca="1" si="24"/>
        <v>●</v>
      </c>
      <c r="J746" s="31">
        <f t="shared" si="25"/>
        <v>744</v>
      </c>
    </row>
    <row r="747" spans="2:10">
      <c r="B747" s="31">
        <v>4</v>
      </c>
      <c r="D747" s="31" t="b">
        <v>1</v>
      </c>
      <c r="E747" s="34" t="s">
        <v>1542</v>
      </c>
      <c r="F747" s="31" t="s">
        <v>1543</v>
      </c>
      <c r="H747" s="40">
        <v>45710</v>
      </c>
      <c r="I747" s="31" t="str">
        <f t="shared" ca="1" si="24"/>
        <v>●</v>
      </c>
      <c r="J747" s="31">
        <f t="shared" si="25"/>
        <v>745</v>
      </c>
    </row>
    <row r="748" spans="2:10">
      <c r="B748" s="31">
        <v>4</v>
      </c>
      <c r="D748" s="31" t="b">
        <v>1</v>
      </c>
      <c r="E748" s="34" t="s">
        <v>1544</v>
      </c>
      <c r="F748" s="31" t="s">
        <v>1545</v>
      </c>
      <c r="H748" s="40">
        <v>45710</v>
      </c>
      <c r="I748" s="31" t="str">
        <f t="shared" ca="1" si="24"/>
        <v>●</v>
      </c>
      <c r="J748" s="31">
        <f t="shared" si="25"/>
        <v>746</v>
      </c>
    </row>
    <row r="749" spans="2:10">
      <c r="B749" s="31">
        <v>4</v>
      </c>
      <c r="D749" s="31" t="b">
        <v>1</v>
      </c>
      <c r="E749" s="34" t="s">
        <v>1546</v>
      </c>
      <c r="F749" s="31" t="s">
        <v>1547</v>
      </c>
      <c r="H749" s="40">
        <v>45710</v>
      </c>
      <c r="I749" s="31" t="str">
        <f t="shared" ca="1" si="24"/>
        <v>●</v>
      </c>
      <c r="J749" s="31">
        <f t="shared" si="25"/>
        <v>747</v>
      </c>
    </row>
    <row r="750" spans="2:10">
      <c r="B750" s="31">
        <v>4</v>
      </c>
      <c r="D750" s="31" t="b">
        <v>1</v>
      </c>
      <c r="E750" s="34" t="s">
        <v>1548</v>
      </c>
      <c r="F750" s="31" t="s">
        <v>1549</v>
      </c>
      <c r="H750" s="40">
        <v>45710</v>
      </c>
      <c r="I750" s="31" t="str">
        <f t="shared" ca="1" si="24"/>
        <v>●</v>
      </c>
      <c r="J750" s="31">
        <f t="shared" si="25"/>
        <v>748</v>
      </c>
    </row>
    <row r="751" spans="2:10">
      <c r="B751" s="31">
        <v>4</v>
      </c>
      <c r="D751" s="31" t="b">
        <v>1</v>
      </c>
      <c r="E751" s="34" t="s">
        <v>1550</v>
      </c>
      <c r="F751" s="31" t="s">
        <v>1551</v>
      </c>
      <c r="H751" s="40">
        <v>45710</v>
      </c>
      <c r="I751" s="31" t="str">
        <f t="shared" ca="1" si="24"/>
        <v>●</v>
      </c>
      <c r="J751" s="31">
        <f t="shared" si="25"/>
        <v>749</v>
      </c>
    </row>
    <row r="752" spans="2:10">
      <c r="B752" s="31">
        <v>4</v>
      </c>
      <c r="D752" s="31" t="b">
        <v>1</v>
      </c>
      <c r="E752" s="34" t="s">
        <v>1552</v>
      </c>
      <c r="F752" s="31" t="s">
        <v>1553</v>
      </c>
      <c r="H752" s="40">
        <v>45710</v>
      </c>
      <c r="I752" s="31" t="str">
        <f t="shared" ca="1" si="24"/>
        <v>●</v>
      </c>
      <c r="J752" s="31">
        <f t="shared" si="25"/>
        <v>750</v>
      </c>
    </row>
    <row r="753" spans="2:10">
      <c r="B753" s="31">
        <v>4</v>
      </c>
      <c r="D753" s="31" t="b">
        <v>1</v>
      </c>
      <c r="E753" s="34" t="s">
        <v>1554</v>
      </c>
      <c r="F753" s="31" t="s">
        <v>1555</v>
      </c>
      <c r="H753" s="40">
        <v>45710</v>
      </c>
      <c r="I753" s="31" t="str">
        <f t="shared" ca="1" si="24"/>
        <v>●</v>
      </c>
      <c r="J753" s="31">
        <f t="shared" si="25"/>
        <v>751</v>
      </c>
    </row>
    <row r="754" spans="2:10">
      <c r="B754" s="31">
        <v>4</v>
      </c>
      <c r="D754" s="31" t="b">
        <v>1</v>
      </c>
      <c r="E754" s="34" t="s">
        <v>1556</v>
      </c>
      <c r="F754" s="31" t="s">
        <v>1557</v>
      </c>
      <c r="H754" s="40">
        <v>45710</v>
      </c>
      <c r="I754" s="31" t="str">
        <f t="shared" ca="1" si="24"/>
        <v>●</v>
      </c>
      <c r="J754" s="31">
        <f t="shared" si="25"/>
        <v>752</v>
      </c>
    </row>
    <row r="755" spans="2:10">
      <c r="B755" s="31">
        <v>4</v>
      </c>
      <c r="D755" s="31" t="b">
        <v>1</v>
      </c>
      <c r="E755" s="34" t="s">
        <v>1558</v>
      </c>
      <c r="F755" s="31" t="s">
        <v>1559</v>
      </c>
      <c r="H755" s="40">
        <v>45710</v>
      </c>
      <c r="I755" s="31" t="str">
        <f t="shared" ca="1" si="24"/>
        <v>●</v>
      </c>
      <c r="J755" s="31">
        <f t="shared" si="25"/>
        <v>753</v>
      </c>
    </row>
    <row r="756" spans="2:10">
      <c r="B756" s="31">
        <v>4</v>
      </c>
      <c r="D756" s="31" t="b">
        <v>1</v>
      </c>
      <c r="E756" s="34" t="s">
        <v>1560</v>
      </c>
      <c r="F756" s="31" t="s">
        <v>1561</v>
      </c>
      <c r="H756" s="40">
        <v>45710</v>
      </c>
      <c r="I756" s="31" t="str">
        <f t="shared" ca="1" si="24"/>
        <v>●</v>
      </c>
      <c r="J756" s="31">
        <f t="shared" si="25"/>
        <v>754</v>
      </c>
    </row>
    <row r="757" spans="2:10">
      <c r="B757" s="31">
        <v>4</v>
      </c>
      <c r="D757" s="31" t="b">
        <v>1</v>
      </c>
      <c r="E757" s="34" t="s">
        <v>1562</v>
      </c>
      <c r="F757" s="31" t="s">
        <v>1563</v>
      </c>
      <c r="G757" s="31" t="s">
        <v>1564</v>
      </c>
      <c r="H757" s="40">
        <v>45723</v>
      </c>
      <c r="I757" s="31" t="str">
        <f t="shared" ca="1" si="24"/>
        <v>●</v>
      </c>
      <c r="J757" s="31">
        <f t="shared" si="25"/>
        <v>755</v>
      </c>
    </row>
    <row r="758" spans="2:10">
      <c r="B758" s="31">
        <v>4</v>
      </c>
      <c r="D758" s="31" t="b">
        <v>1</v>
      </c>
      <c r="E758" s="34" t="s">
        <v>1565</v>
      </c>
      <c r="F758" s="31" t="s">
        <v>1566</v>
      </c>
      <c r="H758" s="40">
        <v>45717</v>
      </c>
      <c r="I758" s="31" t="str">
        <f t="shared" ca="1" si="24"/>
        <v>●</v>
      </c>
      <c r="J758" s="31">
        <f t="shared" si="25"/>
        <v>756</v>
      </c>
    </row>
    <row r="759" spans="2:10">
      <c r="B759" s="31">
        <v>4</v>
      </c>
      <c r="D759" s="31" t="b">
        <v>1</v>
      </c>
      <c r="E759" s="34" t="s">
        <v>1567</v>
      </c>
      <c r="F759" s="31" t="s">
        <v>1568</v>
      </c>
      <c r="H759" s="40">
        <v>45717</v>
      </c>
      <c r="I759" s="31" t="str">
        <f t="shared" ca="1" si="24"/>
        <v>●</v>
      </c>
      <c r="J759" s="31">
        <f t="shared" si="25"/>
        <v>757</v>
      </c>
    </row>
    <row r="760" spans="2:10">
      <c r="B760" s="31">
        <v>4</v>
      </c>
      <c r="D760" s="31" t="b">
        <v>1</v>
      </c>
      <c r="E760" s="34" t="s">
        <v>1569</v>
      </c>
      <c r="F760" s="31" t="s">
        <v>1570</v>
      </c>
      <c r="H760" s="40">
        <v>45717</v>
      </c>
      <c r="I760" s="31" t="str">
        <f t="shared" ca="1" si="24"/>
        <v>●</v>
      </c>
      <c r="J760" s="31">
        <f t="shared" si="25"/>
        <v>758</v>
      </c>
    </row>
    <row r="761" spans="2:10">
      <c r="B761" s="31">
        <v>4</v>
      </c>
      <c r="D761" s="31" t="b">
        <v>1</v>
      </c>
      <c r="E761" s="34" t="s">
        <v>1571</v>
      </c>
      <c r="F761" s="31" t="s">
        <v>1572</v>
      </c>
      <c r="H761" s="40">
        <v>45717</v>
      </c>
      <c r="I761" s="31" t="str">
        <f t="shared" ca="1" si="24"/>
        <v>●</v>
      </c>
      <c r="J761" s="31">
        <f t="shared" si="25"/>
        <v>759</v>
      </c>
    </row>
    <row r="762" spans="2:10">
      <c r="B762" s="31">
        <v>4</v>
      </c>
      <c r="D762" s="31" t="b">
        <v>1</v>
      </c>
      <c r="E762" s="34" t="s">
        <v>1573</v>
      </c>
      <c r="F762" s="31" t="s">
        <v>1574</v>
      </c>
      <c r="H762" s="40">
        <v>45717</v>
      </c>
      <c r="I762" s="31" t="str">
        <f t="shared" ca="1" si="24"/>
        <v>●</v>
      </c>
      <c r="J762" s="31">
        <f t="shared" si="25"/>
        <v>760</v>
      </c>
    </row>
    <row r="763" spans="2:10">
      <c r="B763" s="31">
        <v>4</v>
      </c>
      <c r="D763" s="31" t="b">
        <v>1</v>
      </c>
      <c r="E763" s="34" t="s">
        <v>1575</v>
      </c>
      <c r="F763" s="31" t="s">
        <v>1576</v>
      </c>
      <c r="H763" s="40">
        <v>45723</v>
      </c>
      <c r="I763" s="31" t="str">
        <f t="shared" ca="1" si="24"/>
        <v>●</v>
      </c>
      <c r="J763" s="31">
        <f t="shared" si="25"/>
        <v>761</v>
      </c>
    </row>
    <row r="764" spans="2:10">
      <c r="B764" s="31">
        <v>4</v>
      </c>
      <c r="D764" s="31" t="b">
        <v>1</v>
      </c>
      <c r="E764" s="34" t="s">
        <v>1577</v>
      </c>
      <c r="F764" s="31" t="s">
        <v>1578</v>
      </c>
      <c r="H764" s="40">
        <v>45717</v>
      </c>
      <c r="I764" s="31" t="str">
        <f t="shared" ca="1" si="24"/>
        <v>●</v>
      </c>
      <c r="J764" s="31">
        <f t="shared" si="25"/>
        <v>762</v>
      </c>
    </row>
    <row r="765" spans="2:10">
      <c r="B765" s="31">
        <v>4</v>
      </c>
      <c r="D765" s="31" t="b">
        <v>1</v>
      </c>
      <c r="E765" s="34" t="s">
        <v>1579</v>
      </c>
      <c r="F765" s="31" t="s">
        <v>1580</v>
      </c>
      <c r="H765" s="40">
        <v>45717</v>
      </c>
      <c r="I765" s="31" t="str">
        <f t="shared" ca="1" si="24"/>
        <v>●</v>
      </c>
      <c r="J765" s="31">
        <f t="shared" si="25"/>
        <v>763</v>
      </c>
    </row>
    <row r="766" spans="2:10">
      <c r="B766" s="31">
        <v>4</v>
      </c>
      <c r="D766" s="31" t="b">
        <v>1</v>
      </c>
      <c r="E766" s="34" t="s">
        <v>1581</v>
      </c>
      <c r="F766" s="31" t="s">
        <v>1582</v>
      </c>
      <c r="H766" s="40">
        <v>45717</v>
      </c>
      <c r="I766" s="31" t="str">
        <f t="shared" ca="1" si="24"/>
        <v>●</v>
      </c>
      <c r="J766" s="31">
        <f t="shared" si="25"/>
        <v>764</v>
      </c>
    </row>
    <row r="767" spans="2:10">
      <c r="B767" s="31">
        <v>4</v>
      </c>
      <c r="D767" s="31" t="b">
        <v>1</v>
      </c>
      <c r="E767" s="34" t="s">
        <v>1583</v>
      </c>
      <c r="F767" s="31" t="s">
        <v>1584</v>
      </c>
      <c r="H767" s="40">
        <v>45717</v>
      </c>
      <c r="I767" s="31" t="str">
        <f t="shared" ca="1" si="24"/>
        <v>●</v>
      </c>
      <c r="J767" s="31">
        <f t="shared" si="25"/>
        <v>765</v>
      </c>
    </row>
    <row r="768" spans="2:10">
      <c r="B768" s="31">
        <v>4</v>
      </c>
      <c r="D768" s="31" t="b">
        <v>1</v>
      </c>
      <c r="E768" s="34" t="s">
        <v>1585</v>
      </c>
      <c r="F768" s="31" t="s">
        <v>1586</v>
      </c>
      <c r="H768" s="40">
        <v>45717</v>
      </c>
      <c r="I768" s="31" t="str">
        <f t="shared" ca="1" si="24"/>
        <v>●</v>
      </c>
      <c r="J768" s="31">
        <f t="shared" si="25"/>
        <v>766</v>
      </c>
    </row>
    <row r="769" spans="2:10">
      <c r="B769" s="31">
        <v>4</v>
      </c>
      <c r="D769" s="31" t="b">
        <v>1</v>
      </c>
      <c r="E769" s="34" t="s">
        <v>1587</v>
      </c>
      <c r="F769" s="31" t="s">
        <v>1588</v>
      </c>
      <c r="H769" s="40">
        <v>45723</v>
      </c>
      <c r="I769" s="31" t="str">
        <f t="shared" ca="1" si="24"/>
        <v>●</v>
      </c>
      <c r="J769" s="31">
        <f t="shared" si="25"/>
        <v>767</v>
      </c>
    </row>
    <row r="770" spans="2:10">
      <c r="B770" s="31">
        <v>4</v>
      </c>
      <c r="D770" s="31" t="b">
        <v>1</v>
      </c>
      <c r="E770" s="34" t="s">
        <v>1589</v>
      </c>
      <c r="F770" s="31" t="s">
        <v>1590</v>
      </c>
      <c r="H770" s="40">
        <v>45723</v>
      </c>
      <c r="I770" s="31" t="str">
        <f t="shared" ca="1" si="24"/>
        <v>●</v>
      </c>
      <c r="J770" s="31">
        <f t="shared" si="25"/>
        <v>768</v>
      </c>
    </row>
    <row r="771" spans="2:10">
      <c r="B771" s="31">
        <v>4</v>
      </c>
      <c r="D771" s="31" t="b">
        <v>1</v>
      </c>
      <c r="E771" s="34" t="s">
        <v>1591</v>
      </c>
      <c r="F771" s="31" t="s">
        <v>1592</v>
      </c>
      <c r="H771" s="40">
        <v>45723</v>
      </c>
      <c r="I771" s="31" t="str">
        <f t="shared" ca="1" si="24"/>
        <v>●</v>
      </c>
      <c r="J771" s="31">
        <f t="shared" si="25"/>
        <v>769</v>
      </c>
    </row>
    <row r="772" spans="2:10">
      <c r="B772" s="31">
        <v>4</v>
      </c>
      <c r="D772" s="31" t="b">
        <v>1</v>
      </c>
      <c r="E772" s="34" t="s">
        <v>1593</v>
      </c>
      <c r="F772" s="31" t="s">
        <v>1594</v>
      </c>
      <c r="H772" s="40">
        <v>45723</v>
      </c>
      <c r="I772" s="31" t="str">
        <f t="shared" ca="1" si="24"/>
        <v>●</v>
      </c>
      <c r="J772" s="31">
        <f t="shared" si="25"/>
        <v>770</v>
      </c>
    </row>
    <row r="773" spans="2:10">
      <c r="B773" s="31">
        <v>4</v>
      </c>
      <c r="D773" s="31" t="b">
        <v>1</v>
      </c>
      <c r="E773" s="34" t="s">
        <v>1595</v>
      </c>
      <c r="F773" s="31" t="s">
        <v>1596</v>
      </c>
      <c r="G773" s="31" t="s">
        <v>1597</v>
      </c>
      <c r="H773" s="40">
        <v>45723</v>
      </c>
      <c r="I773" s="31" t="str">
        <f t="shared" ca="1" si="24"/>
        <v>●</v>
      </c>
      <c r="J773" s="31">
        <f t="shared" si="25"/>
        <v>771</v>
      </c>
    </row>
    <row r="774" spans="2:10" hidden="1">
      <c r="B774" s="31">
        <v>4</v>
      </c>
      <c r="C774" s="31" t="s">
        <v>116</v>
      </c>
      <c r="D774" s="31" t="b">
        <v>1</v>
      </c>
      <c r="E774" s="34" t="s">
        <v>1598</v>
      </c>
      <c r="F774" s="31" t="s">
        <v>1599</v>
      </c>
      <c r="H774" s="40">
        <v>45710</v>
      </c>
      <c r="I774" s="31" t="str">
        <f t="shared" ca="1" si="24"/>
        <v>●</v>
      </c>
      <c r="J774" s="31">
        <f t="shared" si="25"/>
        <v>772</v>
      </c>
    </row>
    <row r="775" spans="2:10" hidden="1">
      <c r="B775" s="31">
        <v>4</v>
      </c>
      <c r="C775" s="31" t="s">
        <v>116</v>
      </c>
      <c r="D775" s="31" t="b">
        <v>0</v>
      </c>
      <c r="E775" s="34" t="s">
        <v>1600</v>
      </c>
      <c r="F775" s="31" t="s">
        <v>1601</v>
      </c>
      <c r="H775" s="40">
        <v>45710</v>
      </c>
      <c r="I775" s="31" t="str">
        <f t="shared" ca="1" si="24"/>
        <v>●</v>
      </c>
      <c r="J775" s="31">
        <f t="shared" si="25"/>
        <v>773</v>
      </c>
    </row>
    <row r="776" spans="2:10" hidden="1">
      <c r="B776" s="31">
        <v>4</v>
      </c>
      <c r="C776" s="31" t="s">
        <v>116</v>
      </c>
      <c r="D776" s="35" t="b">
        <v>1</v>
      </c>
      <c r="E776" s="34" t="s">
        <v>1602</v>
      </c>
      <c r="F776" s="31" t="s">
        <v>1603</v>
      </c>
      <c r="H776" s="40">
        <v>45710</v>
      </c>
      <c r="I776" s="31" t="str">
        <f t="shared" ca="1" si="24"/>
        <v>●</v>
      </c>
      <c r="J776" s="31">
        <f t="shared" si="25"/>
        <v>774</v>
      </c>
    </row>
    <row r="777" spans="2:10" hidden="1">
      <c r="B777" s="31">
        <v>4</v>
      </c>
      <c r="C777" s="31" t="s">
        <v>116</v>
      </c>
      <c r="D777" s="35" t="b">
        <v>1</v>
      </c>
      <c r="E777" s="34" t="s">
        <v>60</v>
      </c>
      <c r="F777" s="31" t="s">
        <v>1604</v>
      </c>
      <c r="H777" s="40">
        <v>45710</v>
      </c>
      <c r="I777" s="31" t="str">
        <f t="shared" ca="1" si="24"/>
        <v>●</v>
      </c>
      <c r="J777" s="31">
        <f t="shared" si="25"/>
        <v>775</v>
      </c>
    </row>
    <row r="778" spans="2:10" hidden="1">
      <c r="B778" s="31">
        <v>4</v>
      </c>
      <c r="C778" s="31" t="s">
        <v>116</v>
      </c>
      <c r="D778" s="35" t="b">
        <v>1</v>
      </c>
      <c r="E778" s="34" t="s">
        <v>1605</v>
      </c>
      <c r="F778" s="31" t="s">
        <v>1606</v>
      </c>
      <c r="H778" s="40">
        <v>45710</v>
      </c>
      <c r="I778" s="31" t="str">
        <f t="shared" ca="1" si="24"/>
        <v>●</v>
      </c>
      <c r="J778" s="31">
        <f t="shared" si="25"/>
        <v>776</v>
      </c>
    </row>
    <row r="779" spans="2:10">
      <c r="B779" s="31">
        <v>4</v>
      </c>
      <c r="D779" s="31" t="b">
        <v>1</v>
      </c>
      <c r="E779" s="34" t="s">
        <v>1607</v>
      </c>
      <c r="F779" s="31" t="s">
        <v>1608</v>
      </c>
      <c r="G779" s="31" t="s">
        <v>1609</v>
      </c>
      <c r="H779" s="40">
        <v>45723</v>
      </c>
      <c r="I779" s="31" t="str">
        <f t="shared" ca="1" si="24"/>
        <v>●</v>
      </c>
      <c r="J779" s="31">
        <f t="shared" si="25"/>
        <v>777</v>
      </c>
    </row>
    <row r="780" spans="2:10" hidden="1">
      <c r="B780" s="31">
        <v>4</v>
      </c>
      <c r="C780" s="31" t="s">
        <v>116</v>
      </c>
      <c r="D780" s="35" t="b">
        <v>1</v>
      </c>
      <c r="E780" s="34" t="s">
        <v>1610</v>
      </c>
      <c r="F780" s="31" t="s">
        <v>1611</v>
      </c>
      <c r="H780" s="40">
        <v>45710</v>
      </c>
      <c r="I780" s="31" t="str">
        <f t="shared" ca="1" si="24"/>
        <v>●</v>
      </c>
      <c r="J780" s="31">
        <f t="shared" si="25"/>
        <v>778</v>
      </c>
    </row>
    <row r="781" spans="2:10" hidden="1">
      <c r="B781" s="31">
        <v>4</v>
      </c>
      <c r="C781" s="31" t="s">
        <v>116</v>
      </c>
      <c r="D781" s="35" t="b">
        <v>1</v>
      </c>
      <c r="E781" s="34" t="s">
        <v>1612</v>
      </c>
      <c r="F781" s="31" t="s">
        <v>1613</v>
      </c>
      <c r="H781" s="40">
        <v>45710</v>
      </c>
      <c r="I781" s="31" t="str">
        <f t="shared" ca="1" si="24"/>
        <v>●</v>
      </c>
      <c r="J781" s="31">
        <f t="shared" si="25"/>
        <v>779</v>
      </c>
    </row>
    <row r="782" spans="2:10" hidden="1">
      <c r="B782" s="31">
        <v>4</v>
      </c>
      <c r="C782" s="31" t="s">
        <v>116</v>
      </c>
      <c r="D782" s="35" t="b">
        <v>1</v>
      </c>
      <c r="E782" s="34" t="s">
        <v>1614</v>
      </c>
      <c r="F782" s="31" t="s">
        <v>1615</v>
      </c>
      <c r="H782" s="40">
        <v>45710</v>
      </c>
      <c r="I782" s="31" t="str">
        <f t="shared" ca="1" si="24"/>
        <v>●</v>
      </c>
      <c r="J782" s="31">
        <f t="shared" si="25"/>
        <v>780</v>
      </c>
    </row>
    <row r="783" spans="2:10" hidden="1">
      <c r="B783" s="31">
        <v>4</v>
      </c>
      <c r="C783" s="31" t="s">
        <v>116</v>
      </c>
      <c r="D783" s="35" t="b">
        <v>1</v>
      </c>
      <c r="E783" s="34" t="s">
        <v>1616</v>
      </c>
      <c r="F783" s="31" t="s">
        <v>1617</v>
      </c>
      <c r="H783" s="40">
        <v>45710</v>
      </c>
      <c r="I783" s="31" t="str">
        <f t="shared" ca="1" si="24"/>
        <v>●</v>
      </c>
      <c r="J783" s="31">
        <f t="shared" si="25"/>
        <v>781</v>
      </c>
    </row>
    <row r="784" spans="2:10" hidden="1">
      <c r="B784" s="31">
        <v>4</v>
      </c>
      <c r="C784" s="31" t="s">
        <v>116</v>
      </c>
      <c r="D784" s="35" t="b">
        <v>1</v>
      </c>
      <c r="E784" s="34" t="s">
        <v>1618</v>
      </c>
      <c r="F784" s="31" t="s">
        <v>1619</v>
      </c>
      <c r="H784" s="40">
        <v>45710</v>
      </c>
      <c r="I784" s="31" t="str">
        <f t="shared" ca="1" si="24"/>
        <v>●</v>
      </c>
      <c r="J784" s="31">
        <f t="shared" si="25"/>
        <v>782</v>
      </c>
    </row>
    <row r="785" spans="2:10" hidden="1">
      <c r="B785" s="31">
        <v>4</v>
      </c>
      <c r="C785" s="31" t="s">
        <v>116</v>
      </c>
      <c r="D785" s="31" t="b">
        <v>0</v>
      </c>
      <c r="E785" s="34" t="s">
        <v>1620</v>
      </c>
      <c r="F785" s="31" t="s">
        <v>1621</v>
      </c>
      <c r="G785" s="31" t="s">
        <v>1622</v>
      </c>
      <c r="H785" s="40">
        <v>45717</v>
      </c>
      <c r="I785" s="31" t="str">
        <f t="shared" ca="1" si="24"/>
        <v>●</v>
      </c>
      <c r="J785" s="31">
        <f t="shared" si="25"/>
        <v>783</v>
      </c>
    </row>
    <row r="786" spans="2:10" hidden="1">
      <c r="B786" s="31">
        <v>4</v>
      </c>
      <c r="C786" s="31" t="s">
        <v>116</v>
      </c>
      <c r="D786" s="31" t="b">
        <v>1</v>
      </c>
      <c r="E786" s="34" t="s">
        <v>1623</v>
      </c>
      <c r="F786" s="31" t="s">
        <v>1624</v>
      </c>
      <c r="G786" s="31" t="s">
        <v>1625</v>
      </c>
      <c r="H786" s="40">
        <v>45717</v>
      </c>
      <c r="I786" s="31" t="str">
        <f t="shared" ref="I786:I849" ca="1" si="26">IF(H786-$G$1&lt;=0,"●","")</f>
        <v>●</v>
      </c>
      <c r="J786" s="31">
        <f t="shared" ref="J786:J849" si="27">ROW()-2</f>
        <v>784</v>
      </c>
    </row>
    <row r="787" spans="2:10">
      <c r="B787" s="31">
        <v>4</v>
      </c>
      <c r="D787" s="31" t="b">
        <v>1</v>
      </c>
      <c r="E787" s="34" t="s">
        <v>1626</v>
      </c>
      <c r="F787" s="31" t="s">
        <v>1627</v>
      </c>
      <c r="G787" s="31" t="s">
        <v>1628</v>
      </c>
      <c r="H787" s="40">
        <v>45723</v>
      </c>
      <c r="I787" s="31" t="str">
        <f t="shared" ca="1" si="26"/>
        <v>●</v>
      </c>
      <c r="J787" s="31">
        <f t="shared" si="27"/>
        <v>785</v>
      </c>
    </row>
    <row r="788" spans="2:10" hidden="1">
      <c r="B788" s="31">
        <v>4</v>
      </c>
      <c r="C788" s="31" t="s">
        <v>116</v>
      </c>
      <c r="D788" s="31" t="b">
        <v>1</v>
      </c>
      <c r="E788" s="34" t="s">
        <v>1629</v>
      </c>
      <c r="F788" s="31" t="s">
        <v>1630</v>
      </c>
      <c r="H788" s="40">
        <v>45723</v>
      </c>
      <c r="I788" s="31" t="str">
        <f t="shared" ca="1" si="26"/>
        <v>●</v>
      </c>
      <c r="J788" s="31">
        <f t="shared" si="27"/>
        <v>786</v>
      </c>
    </row>
    <row r="789" spans="2:10">
      <c r="B789" s="31">
        <v>4</v>
      </c>
      <c r="D789" s="31" t="b">
        <v>1</v>
      </c>
      <c r="E789" s="34" t="s">
        <v>1631</v>
      </c>
      <c r="F789" s="31" t="s">
        <v>1632</v>
      </c>
      <c r="G789" s="31" t="s">
        <v>1633</v>
      </c>
      <c r="H789" s="40">
        <v>45723</v>
      </c>
      <c r="I789" s="31" t="str">
        <f t="shared" ca="1" si="26"/>
        <v>●</v>
      </c>
      <c r="J789" s="31">
        <f t="shared" si="27"/>
        <v>787</v>
      </c>
    </row>
    <row r="790" spans="2:10" hidden="1">
      <c r="B790" s="31">
        <v>5</v>
      </c>
      <c r="D790" s="31" t="b">
        <v>1</v>
      </c>
      <c r="E790" s="34" t="s">
        <v>1634</v>
      </c>
      <c r="F790" s="31" t="s">
        <v>1635</v>
      </c>
      <c r="H790" s="40">
        <v>45748</v>
      </c>
      <c r="I790" s="31" t="str">
        <f t="shared" ca="1" si="26"/>
        <v/>
      </c>
      <c r="J790" s="31">
        <f t="shared" si="27"/>
        <v>788</v>
      </c>
    </row>
    <row r="791" spans="2:10" hidden="1">
      <c r="B791" s="31">
        <v>5</v>
      </c>
      <c r="D791" s="31" t="b">
        <v>1</v>
      </c>
      <c r="E791" s="34" t="s">
        <v>1636</v>
      </c>
      <c r="F791" s="31" t="s">
        <v>1637</v>
      </c>
      <c r="H791" s="40">
        <v>45748</v>
      </c>
      <c r="I791" s="31" t="str">
        <f t="shared" ca="1" si="26"/>
        <v/>
      </c>
      <c r="J791" s="31">
        <f t="shared" si="27"/>
        <v>789</v>
      </c>
    </row>
    <row r="792" spans="2:10" hidden="1">
      <c r="B792" s="31">
        <v>5</v>
      </c>
      <c r="D792" s="31" t="b">
        <v>1</v>
      </c>
      <c r="E792" s="34" t="s">
        <v>1638</v>
      </c>
      <c r="F792" s="31" t="s">
        <v>1639</v>
      </c>
      <c r="H792" s="40">
        <v>45748</v>
      </c>
      <c r="I792" s="31" t="str">
        <f t="shared" ca="1" si="26"/>
        <v/>
      </c>
      <c r="J792" s="31">
        <f t="shared" si="27"/>
        <v>790</v>
      </c>
    </row>
    <row r="793" spans="2:10" hidden="1">
      <c r="B793" s="31">
        <v>5</v>
      </c>
      <c r="D793" s="31" t="b">
        <v>1</v>
      </c>
      <c r="E793" s="34" t="s">
        <v>1640</v>
      </c>
      <c r="F793" s="31" t="s">
        <v>1641</v>
      </c>
      <c r="H793" s="40">
        <v>45748</v>
      </c>
      <c r="I793" s="31" t="str">
        <f t="shared" ca="1" si="26"/>
        <v/>
      </c>
      <c r="J793" s="31">
        <f t="shared" si="27"/>
        <v>791</v>
      </c>
    </row>
    <row r="794" spans="2:10" hidden="1">
      <c r="B794" s="31">
        <v>5</v>
      </c>
      <c r="D794" s="31" t="b">
        <v>1</v>
      </c>
      <c r="E794" s="34" t="s">
        <v>73</v>
      </c>
      <c r="F794" s="31" t="s">
        <v>1642</v>
      </c>
      <c r="H794" s="40">
        <v>45748</v>
      </c>
      <c r="I794" s="31" t="str">
        <f t="shared" ca="1" si="26"/>
        <v/>
      </c>
      <c r="J794" s="31">
        <f t="shared" si="27"/>
        <v>792</v>
      </c>
    </row>
    <row r="795" spans="2:10" hidden="1">
      <c r="B795" s="31">
        <v>5</v>
      </c>
      <c r="D795" s="31" t="b">
        <v>1</v>
      </c>
      <c r="E795" s="34" t="s">
        <v>1643</v>
      </c>
      <c r="F795" s="31" t="s">
        <v>1644</v>
      </c>
      <c r="H795" s="40">
        <v>45748</v>
      </c>
      <c r="I795" s="31" t="str">
        <f t="shared" ca="1" si="26"/>
        <v/>
      </c>
      <c r="J795" s="31">
        <f t="shared" si="27"/>
        <v>793</v>
      </c>
    </row>
    <row r="796" spans="2:10" hidden="1">
      <c r="B796" s="31">
        <v>5</v>
      </c>
      <c r="D796" s="31" t="b">
        <v>1</v>
      </c>
      <c r="E796" s="34" t="s">
        <v>1645</v>
      </c>
      <c r="F796" s="31" t="s">
        <v>1646</v>
      </c>
      <c r="H796" s="40">
        <v>45748</v>
      </c>
      <c r="I796" s="31" t="str">
        <f t="shared" ca="1" si="26"/>
        <v/>
      </c>
      <c r="J796" s="31">
        <f t="shared" si="27"/>
        <v>794</v>
      </c>
    </row>
    <row r="797" spans="2:10" hidden="1">
      <c r="B797" s="31">
        <v>5</v>
      </c>
      <c r="D797" s="31" t="b">
        <v>1</v>
      </c>
      <c r="E797" s="34" t="s">
        <v>56</v>
      </c>
      <c r="F797" s="31" t="s">
        <v>1647</v>
      </c>
      <c r="H797" s="40">
        <v>45748</v>
      </c>
      <c r="I797" s="31" t="str">
        <f t="shared" ca="1" si="26"/>
        <v/>
      </c>
      <c r="J797" s="31">
        <f t="shared" si="27"/>
        <v>795</v>
      </c>
    </row>
    <row r="798" spans="2:10">
      <c r="B798" s="31">
        <v>4</v>
      </c>
      <c r="D798" s="31" t="b">
        <v>1</v>
      </c>
      <c r="E798" s="34" t="s">
        <v>1648</v>
      </c>
      <c r="F798" s="31" t="s">
        <v>1649</v>
      </c>
      <c r="G798" s="31" t="s">
        <v>1650</v>
      </c>
      <c r="H798" s="40">
        <v>45723</v>
      </c>
      <c r="I798" s="31" t="str">
        <f t="shared" ca="1" si="26"/>
        <v>●</v>
      </c>
      <c r="J798" s="31">
        <f t="shared" si="27"/>
        <v>796</v>
      </c>
    </row>
    <row r="799" spans="2:10">
      <c r="B799" s="31">
        <v>4</v>
      </c>
      <c r="D799" s="31" t="b">
        <v>1</v>
      </c>
      <c r="E799" s="34" t="s">
        <v>1651</v>
      </c>
      <c r="F799" s="31" t="s">
        <v>1652</v>
      </c>
      <c r="G799" s="31" t="s">
        <v>1653</v>
      </c>
      <c r="H799" s="40">
        <v>45723</v>
      </c>
      <c r="I799" s="31" t="str">
        <f t="shared" ca="1" si="26"/>
        <v>●</v>
      </c>
      <c r="J799" s="31">
        <f t="shared" si="27"/>
        <v>797</v>
      </c>
    </row>
    <row r="800" spans="2:10">
      <c r="B800" s="31">
        <v>4</v>
      </c>
      <c r="D800" s="31" t="b">
        <v>1</v>
      </c>
      <c r="E800" s="34" t="s">
        <v>1654</v>
      </c>
      <c r="F800" s="31" t="s">
        <v>1655</v>
      </c>
      <c r="G800" s="31" t="s">
        <v>1656</v>
      </c>
      <c r="H800" s="40">
        <v>45723</v>
      </c>
      <c r="I800" s="31" t="str">
        <f t="shared" ca="1" si="26"/>
        <v>●</v>
      </c>
      <c r="J800" s="31">
        <f t="shared" si="27"/>
        <v>798</v>
      </c>
    </row>
    <row r="801" spans="2:10">
      <c r="B801" s="31">
        <v>4</v>
      </c>
      <c r="D801" s="31" t="b">
        <v>1</v>
      </c>
      <c r="E801" s="34" t="s">
        <v>1657</v>
      </c>
      <c r="F801" s="31" t="s">
        <v>1658</v>
      </c>
      <c r="G801" s="31" t="s">
        <v>1659</v>
      </c>
      <c r="H801" s="40">
        <v>45723</v>
      </c>
      <c r="I801" s="31" t="str">
        <f t="shared" ca="1" si="26"/>
        <v>●</v>
      </c>
      <c r="J801" s="31">
        <f t="shared" si="27"/>
        <v>799</v>
      </c>
    </row>
    <row r="802" spans="2:10">
      <c r="B802" s="31">
        <v>4</v>
      </c>
      <c r="D802" s="31" t="b">
        <v>1</v>
      </c>
      <c r="E802" s="34" t="s">
        <v>1660</v>
      </c>
      <c r="F802" s="31" t="s">
        <v>1661</v>
      </c>
      <c r="G802" s="31" t="s">
        <v>1662</v>
      </c>
      <c r="H802" s="40">
        <v>45723</v>
      </c>
      <c r="I802" s="31" t="str">
        <f t="shared" ca="1" si="26"/>
        <v>●</v>
      </c>
      <c r="J802" s="31">
        <f t="shared" si="27"/>
        <v>800</v>
      </c>
    </row>
    <row r="803" spans="2:10">
      <c r="B803" s="31">
        <v>4</v>
      </c>
      <c r="D803" s="31" t="b">
        <v>1</v>
      </c>
      <c r="E803" s="34" t="s">
        <v>1663</v>
      </c>
      <c r="F803" s="31" t="s">
        <v>1664</v>
      </c>
      <c r="G803" s="31" t="s">
        <v>1665</v>
      </c>
      <c r="H803" s="40">
        <v>45723</v>
      </c>
      <c r="I803" s="31" t="str">
        <f t="shared" ca="1" si="26"/>
        <v>●</v>
      </c>
      <c r="J803" s="31">
        <f t="shared" si="27"/>
        <v>801</v>
      </c>
    </row>
    <row r="804" spans="2:10">
      <c r="B804" s="31">
        <v>4</v>
      </c>
      <c r="D804" s="31" t="b">
        <v>1</v>
      </c>
      <c r="E804" s="34" t="s">
        <v>1666</v>
      </c>
      <c r="F804" s="31" t="s">
        <v>1667</v>
      </c>
      <c r="G804" s="31" t="s">
        <v>1668</v>
      </c>
      <c r="H804" s="40">
        <v>45723</v>
      </c>
      <c r="I804" s="31" t="str">
        <f t="shared" ca="1" si="26"/>
        <v>●</v>
      </c>
      <c r="J804" s="31">
        <f t="shared" si="27"/>
        <v>802</v>
      </c>
    </row>
    <row r="805" spans="2:10">
      <c r="B805" s="31">
        <v>4</v>
      </c>
      <c r="D805" s="31" t="b">
        <v>1</v>
      </c>
      <c r="E805" s="34" t="s">
        <v>1669</v>
      </c>
      <c r="F805" s="31" t="s">
        <v>1670</v>
      </c>
      <c r="G805" s="31" t="s">
        <v>1671</v>
      </c>
      <c r="H805" s="40">
        <v>45723</v>
      </c>
      <c r="I805" s="31" t="str">
        <f t="shared" ca="1" si="26"/>
        <v>●</v>
      </c>
      <c r="J805" s="31">
        <f t="shared" si="27"/>
        <v>803</v>
      </c>
    </row>
    <row r="806" spans="2:10">
      <c r="B806" s="31">
        <v>4</v>
      </c>
      <c r="D806" s="31" t="b">
        <v>1</v>
      </c>
      <c r="E806" s="34" t="s">
        <v>1672</v>
      </c>
      <c r="F806" s="31" t="s">
        <v>1673</v>
      </c>
      <c r="G806" s="31" t="s">
        <v>1674</v>
      </c>
      <c r="H806" s="40">
        <v>45723</v>
      </c>
      <c r="I806" s="31" t="str">
        <f t="shared" ca="1" si="26"/>
        <v>●</v>
      </c>
      <c r="J806" s="31">
        <f t="shared" si="27"/>
        <v>804</v>
      </c>
    </row>
    <row r="807" spans="2:10">
      <c r="B807" s="31">
        <v>4</v>
      </c>
      <c r="D807" s="31" t="b">
        <v>1</v>
      </c>
      <c r="E807" s="34" t="s">
        <v>1675</v>
      </c>
      <c r="F807" s="31" t="s">
        <v>1676</v>
      </c>
      <c r="G807" s="31" t="s">
        <v>1677</v>
      </c>
      <c r="H807" s="40">
        <v>45723</v>
      </c>
      <c r="I807" s="31" t="str">
        <f t="shared" ca="1" si="26"/>
        <v>●</v>
      </c>
      <c r="J807" s="31">
        <f t="shared" si="27"/>
        <v>805</v>
      </c>
    </row>
    <row r="808" spans="2:10" hidden="1">
      <c r="B808" s="31">
        <v>4</v>
      </c>
      <c r="C808" s="31" t="s">
        <v>116</v>
      </c>
      <c r="D808" s="35" t="b">
        <v>1</v>
      </c>
      <c r="E808" s="34" t="s">
        <v>1678</v>
      </c>
      <c r="F808" s="31" t="s">
        <v>1679</v>
      </c>
      <c r="H808" s="40">
        <v>45717</v>
      </c>
      <c r="I808" s="31" t="str">
        <f t="shared" ca="1" si="26"/>
        <v>●</v>
      </c>
      <c r="J808" s="31">
        <f t="shared" si="27"/>
        <v>806</v>
      </c>
    </row>
    <row r="809" spans="2:10" hidden="1">
      <c r="B809" s="31">
        <v>4</v>
      </c>
      <c r="C809" s="31" t="s">
        <v>116</v>
      </c>
      <c r="D809" s="35" t="b">
        <v>1</v>
      </c>
      <c r="E809" s="34" t="s">
        <v>676</v>
      </c>
      <c r="F809" s="31" t="s">
        <v>1680</v>
      </c>
      <c r="H809" s="40">
        <v>45717</v>
      </c>
      <c r="I809" s="31" t="str">
        <f t="shared" ca="1" si="26"/>
        <v>●</v>
      </c>
      <c r="J809" s="31">
        <f t="shared" si="27"/>
        <v>807</v>
      </c>
    </row>
    <row r="810" spans="2:10" hidden="1">
      <c r="B810" s="31">
        <v>4</v>
      </c>
      <c r="C810" s="31" t="s">
        <v>116</v>
      </c>
      <c r="D810" s="35" t="b">
        <v>1</v>
      </c>
      <c r="E810" s="34" t="s">
        <v>1681</v>
      </c>
      <c r="F810" s="31" t="s">
        <v>1682</v>
      </c>
      <c r="H810" s="40">
        <v>45717</v>
      </c>
      <c r="I810" s="31" t="str">
        <f t="shared" ca="1" si="26"/>
        <v>●</v>
      </c>
      <c r="J810" s="31">
        <f t="shared" si="27"/>
        <v>808</v>
      </c>
    </row>
    <row r="811" spans="2:10">
      <c r="B811" s="31">
        <v>4</v>
      </c>
      <c r="D811" s="31" t="b">
        <v>1</v>
      </c>
      <c r="E811" s="34" t="s">
        <v>1683</v>
      </c>
      <c r="F811" s="31" t="s">
        <v>1684</v>
      </c>
      <c r="G811" s="31" t="s">
        <v>1685</v>
      </c>
      <c r="H811" s="40">
        <v>45723</v>
      </c>
      <c r="I811" s="31" t="str">
        <f t="shared" ca="1" si="26"/>
        <v>●</v>
      </c>
      <c r="J811" s="31">
        <f t="shared" si="27"/>
        <v>809</v>
      </c>
    </row>
    <row r="812" spans="2:10">
      <c r="B812" s="31">
        <v>4</v>
      </c>
      <c r="D812" s="31" t="b">
        <v>1</v>
      </c>
      <c r="E812" s="34" t="s">
        <v>1686</v>
      </c>
      <c r="F812" s="31" t="s">
        <v>1687</v>
      </c>
      <c r="G812" s="31" t="s">
        <v>1688</v>
      </c>
      <c r="H812" s="40">
        <v>45723</v>
      </c>
      <c r="I812" s="31" t="str">
        <f t="shared" ca="1" si="26"/>
        <v>●</v>
      </c>
      <c r="J812" s="31">
        <f t="shared" si="27"/>
        <v>810</v>
      </c>
    </row>
    <row r="813" spans="2:10" hidden="1">
      <c r="B813" s="31">
        <v>4</v>
      </c>
      <c r="C813" s="31" t="s">
        <v>116</v>
      </c>
      <c r="D813" s="31" t="b">
        <v>0</v>
      </c>
      <c r="E813" s="34" t="s">
        <v>1689</v>
      </c>
      <c r="F813" s="31" t="s">
        <v>1690</v>
      </c>
      <c r="H813" s="40">
        <v>45723</v>
      </c>
      <c r="I813" s="31" t="str">
        <f t="shared" ca="1" si="26"/>
        <v>●</v>
      </c>
      <c r="J813" s="31">
        <f t="shared" si="27"/>
        <v>811</v>
      </c>
    </row>
    <row r="814" spans="2:10">
      <c r="B814" s="31">
        <v>4</v>
      </c>
      <c r="D814" s="31" t="b">
        <v>1</v>
      </c>
      <c r="E814" s="34" t="s">
        <v>1691</v>
      </c>
      <c r="F814" s="31" t="s">
        <v>1692</v>
      </c>
      <c r="G814" s="31" t="s">
        <v>1693</v>
      </c>
      <c r="H814" s="40">
        <v>45723</v>
      </c>
      <c r="I814" s="31" t="str">
        <f t="shared" ca="1" si="26"/>
        <v>●</v>
      </c>
      <c r="J814" s="31">
        <f t="shared" si="27"/>
        <v>812</v>
      </c>
    </row>
    <row r="815" spans="2:10">
      <c r="B815" s="31">
        <v>4</v>
      </c>
      <c r="D815" s="31" t="b">
        <v>1</v>
      </c>
      <c r="E815" s="34" t="s">
        <v>1694</v>
      </c>
      <c r="F815" s="31" t="s">
        <v>1695</v>
      </c>
      <c r="G815" s="31" t="s">
        <v>1696</v>
      </c>
      <c r="H815" s="40">
        <v>45723</v>
      </c>
      <c r="I815" s="31" t="str">
        <f t="shared" ca="1" si="26"/>
        <v>●</v>
      </c>
      <c r="J815" s="31">
        <f t="shared" si="27"/>
        <v>813</v>
      </c>
    </row>
    <row r="816" spans="2:10">
      <c r="B816" s="31">
        <v>4</v>
      </c>
      <c r="D816" s="31" t="b">
        <v>1</v>
      </c>
      <c r="E816" s="34" t="s">
        <v>1697</v>
      </c>
      <c r="F816" s="31" t="s">
        <v>1698</v>
      </c>
      <c r="G816" s="31" t="s">
        <v>1699</v>
      </c>
      <c r="H816" s="40">
        <v>45723</v>
      </c>
      <c r="I816" s="31" t="str">
        <f t="shared" ca="1" si="26"/>
        <v>●</v>
      </c>
      <c r="J816" s="31">
        <f t="shared" si="27"/>
        <v>814</v>
      </c>
    </row>
    <row r="817" spans="2:10">
      <c r="B817" s="31">
        <v>4</v>
      </c>
      <c r="D817" s="31" t="b">
        <v>1</v>
      </c>
      <c r="E817" s="34" t="s">
        <v>1700</v>
      </c>
      <c r="F817" s="31" t="s">
        <v>1701</v>
      </c>
      <c r="G817" s="31" t="s">
        <v>1702</v>
      </c>
      <c r="H817" s="40">
        <v>45723</v>
      </c>
      <c r="I817" s="31" t="str">
        <f t="shared" ca="1" si="26"/>
        <v>●</v>
      </c>
      <c r="J817" s="31">
        <f t="shared" si="27"/>
        <v>815</v>
      </c>
    </row>
    <row r="818" spans="2:10">
      <c r="B818" s="31">
        <v>4</v>
      </c>
      <c r="D818" s="31" t="b">
        <v>1</v>
      </c>
      <c r="E818" s="34" t="s">
        <v>1703</v>
      </c>
      <c r="F818" s="31" t="s">
        <v>1704</v>
      </c>
      <c r="G818" s="31" t="s">
        <v>1705</v>
      </c>
      <c r="H818" s="40">
        <v>45723</v>
      </c>
      <c r="I818" s="31" t="str">
        <f t="shared" ca="1" si="26"/>
        <v>●</v>
      </c>
      <c r="J818" s="31">
        <f t="shared" si="27"/>
        <v>816</v>
      </c>
    </row>
    <row r="819" spans="2:10">
      <c r="B819" s="31">
        <v>4</v>
      </c>
      <c r="D819" s="31" t="b">
        <v>1</v>
      </c>
      <c r="E819" s="34" t="s">
        <v>1706</v>
      </c>
      <c r="F819" s="31" t="s">
        <v>1707</v>
      </c>
      <c r="G819" s="31" t="s">
        <v>1708</v>
      </c>
      <c r="H819" s="40">
        <v>45723</v>
      </c>
      <c r="I819" s="31" t="str">
        <f t="shared" ca="1" si="26"/>
        <v>●</v>
      </c>
      <c r="J819" s="31">
        <f t="shared" si="27"/>
        <v>817</v>
      </c>
    </row>
    <row r="820" spans="2:10">
      <c r="B820" s="31">
        <v>4</v>
      </c>
      <c r="D820" s="31" t="b">
        <v>1</v>
      </c>
      <c r="E820" s="34" t="s">
        <v>1709</v>
      </c>
      <c r="F820" s="31" t="s">
        <v>1710</v>
      </c>
      <c r="G820" s="31" t="s">
        <v>1711</v>
      </c>
      <c r="H820" s="40">
        <v>45723</v>
      </c>
      <c r="I820" s="31" t="str">
        <f t="shared" ca="1" si="26"/>
        <v>●</v>
      </c>
      <c r="J820" s="31">
        <f t="shared" si="27"/>
        <v>818</v>
      </c>
    </row>
    <row r="821" spans="2:10">
      <c r="B821" s="31">
        <v>4</v>
      </c>
      <c r="D821" s="31" t="b">
        <v>1</v>
      </c>
      <c r="E821" s="34" t="s">
        <v>1712</v>
      </c>
      <c r="F821" s="31" t="s">
        <v>1713</v>
      </c>
      <c r="G821" s="31" t="s">
        <v>1714</v>
      </c>
      <c r="H821" s="40">
        <v>45723</v>
      </c>
      <c r="I821" s="31" t="str">
        <f t="shared" ca="1" si="26"/>
        <v>●</v>
      </c>
      <c r="J821" s="31">
        <f t="shared" si="27"/>
        <v>819</v>
      </c>
    </row>
    <row r="822" spans="2:10">
      <c r="B822" s="31">
        <v>4</v>
      </c>
      <c r="D822" s="31" t="b">
        <v>1</v>
      </c>
      <c r="E822" s="34" t="s">
        <v>1715</v>
      </c>
      <c r="F822" s="31" t="s">
        <v>1716</v>
      </c>
      <c r="G822" s="31" t="s">
        <v>1717</v>
      </c>
      <c r="H822" s="40">
        <v>45723</v>
      </c>
      <c r="I822" s="31" t="str">
        <f t="shared" ca="1" si="26"/>
        <v>●</v>
      </c>
      <c r="J822" s="31">
        <f t="shared" si="27"/>
        <v>820</v>
      </c>
    </row>
    <row r="823" spans="2:10">
      <c r="B823" s="31">
        <v>4</v>
      </c>
      <c r="D823" s="31" t="b">
        <v>1</v>
      </c>
      <c r="E823" s="34" t="s">
        <v>1718</v>
      </c>
      <c r="F823" s="31" t="s">
        <v>1719</v>
      </c>
      <c r="G823" s="31" t="s">
        <v>1720</v>
      </c>
      <c r="H823" s="40">
        <v>45723</v>
      </c>
      <c r="I823" s="31" t="str">
        <f t="shared" ca="1" si="26"/>
        <v>●</v>
      </c>
      <c r="J823" s="31">
        <f t="shared" si="27"/>
        <v>821</v>
      </c>
    </row>
    <row r="824" spans="2:10">
      <c r="B824" s="31">
        <v>4</v>
      </c>
      <c r="D824" s="31" t="b">
        <v>1</v>
      </c>
      <c r="E824" s="34" t="s">
        <v>1721</v>
      </c>
      <c r="F824" s="31" t="s">
        <v>1722</v>
      </c>
      <c r="G824" s="31" t="s">
        <v>1723</v>
      </c>
      <c r="H824" s="40">
        <v>45723</v>
      </c>
      <c r="I824" s="31" t="str">
        <f t="shared" ca="1" si="26"/>
        <v>●</v>
      </c>
      <c r="J824" s="31">
        <f t="shared" si="27"/>
        <v>822</v>
      </c>
    </row>
    <row r="825" spans="2:10">
      <c r="B825" s="31">
        <v>4</v>
      </c>
      <c r="D825" s="31" t="b">
        <v>1</v>
      </c>
      <c r="E825" s="34" t="s">
        <v>1724</v>
      </c>
      <c r="F825" s="31" t="s">
        <v>1725</v>
      </c>
      <c r="G825" s="31" t="s">
        <v>1726</v>
      </c>
      <c r="H825" s="40">
        <v>45723</v>
      </c>
      <c r="I825" s="31" t="str">
        <f t="shared" ca="1" si="26"/>
        <v>●</v>
      </c>
      <c r="J825" s="31">
        <f t="shared" si="27"/>
        <v>823</v>
      </c>
    </row>
    <row r="826" spans="2:10">
      <c r="B826" s="31">
        <v>4</v>
      </c>
      <c r="D826" s="31" t="b">
        <v>1</v>
      </c>
      <c r="E826" s="34" t="s">
        <v>1727</v>
      </c>
      <c r="F826" s="31" t="s">
        <v>1728</v>
      </c>
      <c r="G826" s="31" t="s">
        <v>1729</v>
      </c>
      <c r="H826" s="40">
        <v>45723</v>
      </c>
      <c r="I826" s="31" t="str">
        <f t="shared" ca="1" si="26"/>
        <v>●</v>
      </c>
      <c r="J826" s="31">
        <f t="shared" si="27"/>
        <v>824</v>
      </c>
    </row>
    <row r="827" spans="2:10">
      <c r="B827" s="31">
        <v>4</v>
      </c>
      <c r="D827" s="31" t="b">
        <v>1</v>
      </c>
      <c r="E827" s="34" t="s">
        <v>1730</v>
      </c>
      <c r="F827" s="31" t="s">
        <v>1731</v>
      </c>
      <c r="G827" s="31" t="s">
        <v>1732</v>
      </c>
      <c r="H827" s="40">
        <v>45723</v>
      </c>
      <c r="I827" s="31" t="str">
        <f t="shared" ca="1" si="26"/>
        <v>●</v>
      </c>
      <c r="J827" s="31">
        <f t="shared" si="27"/>
        <v>825</v>
      </c>
    </row>
    <row r="828" spans="2:10">
      <c r="B828" s="31">
        <v>4</v>
      </c>
      <c r="D828" s="31" t="b">
        <v>1</v>
      </c>
      <c r="E828" s="34" t="s">
        <v>1733</v>
      </c>
      <c r="F828" s="31" t="s">
        <v>1734</v>
      </c>
      <c r="G828" s="31" t="s">
        <v>1735</v>
      </c>
      <c r="H828" s="40">
        <v>45723</v>
      </c>
      <c r="I828" s="31" t="str">
        <f t="shared" ca="1" si="26"/>
        <v>●</v>
      </c>
      <c r="J828" s="31">
        <f t="shared" si="27"/>
        <v>826</v>
      </c>
    </row>
    <row r="829" spans="2:10">
      <c r="B829" s="31">
        <v>4</v>
      </c>
      <c r="D829" s="31" t="b">
        <v>1</v>
      </c>
      <c r="E829" s="34" t="s">
        <v>1736</v>
      </c>
      <c r="F829" s="31" t="s">
        <v>1737</v>
      </c>
      <c r="G829" s="31" t="s">
        <v>1738</v>
      </c>
      <c r="H829" s="40">
        <v>45723</v>
      </c>
      <c r="I829" s="31" t="str">
        <f t="shared" ca="1" si="26"/>
        <v>●</v>
      </c>
      <c r="J829" s="31">
        <f t="shared" si="27"/>
        <v>827</v>
      </c>
    </row>
    <row r="830" spans="2:10">
      <c r="B830" s="31">
        <v>4</v>
      </c>
      <c r="D830" s="31" t="b">
        <v>1</v>
      </c>
      <c r="E830" s="34" t="s">
        <v>1739</v>
      </c>
      <c r="F830" s="31" t="s">
        <v>1740</v>
      </c>
      <c r="G830" s="31" t="s">
        <v>1741</v>
      </c>
      <c r="H830" s="40">
        <v>45723</v>
      </c>
      <c r="I830" s="31" t="str">
        <f t="shared" ca="1" si="26"/>
        <v>●</v>
      </c>
      <c r="J830" s="31">
        <f t="shared" si="27"/>
        <v>828</v>
      </c>
    </row>
    <row r="831" spans="2:10">
      <c r="B831" s="31">
        <v>4</v>
      </c>
      <c r="D831" s="31" t="b">
        <v>1</v>
      </c>
      <c r="E831" s="34" t="s">
        <v>1742</v>
      </c>
      <c r="F831" s="31" t="s">
        <v>1743</v>
      </c>
      <c r="G831" s="31" t="s">
        <v>1744</v>
      </c>
      <c r="H831" s="40">
        <v>45723</v>
      </c>
      <c r="I831" s="31" t="str">
        <f t="shared" ca="1" si="26"/>
        <v>●</v>
      </c>
      <c r="J831" s="31">
        <f t="shared" si="27"/>
        <v>829</v>
      </c>
    </row>
    <row r="832" spans="2:10">
      <c r="B832" s="31">
        <v>4</v>
      </c>
      <c r="D832" s="31" t="b">
        <v>1</v>
      </c>
      <c r="E832" s="34" t="s">
        <v>1745</v>
      </c>
      <c r="F832" s="31" t="s">
        <v>1746</v>
      </c>
      <c r="G832" s="31" t="s">
        <v>1747</v>
      </c>
      <c r="H832" s="40">
        <v>45723</v>
      </c>
      <c r="I832" s="31" t="str">
        <f t="shared" ca="1" si="26"/>
        <v>●</v>
      </c>
      <c r="J832" s="31">
        <f t="shared" si="27"/>
        <v>830</v>
      </c>
    </row>
    <row r="833" spans="2:10">
      <c r="B833" s="31">
        <v>4</v>
      </c>
      <c r="D833" s="31" t="b">
        <v>1</v>
      </c>
      <c r="E833" s="34" t="s">
        <v>1748</v>
      </c>
      <c r="F833" s="31" t="s">
        <v>1749</v>
      </c>
      <c r="G833" s="31" t="s">
        <v>1750</v>
      </c>
      <c r="H833" s="40">
        <v>45723</v>
      </c>
      <c r="I833" s="31" t="str">
        <f t="shared" ca="1" si="26"/>
        <v>●</v>
      </c>
      <c r="J833" s="31">
        <f t="shared" si="27"/>
        <v>831</v>
      </c>
    </row>
    <row r="834" spans="2:10">
      <c r="B834" s="31">
        <v>4</v>
      </c>
      <c r="D834" s="31" t="b">
        <v>1</v>
      </c>
      <c r="E834" s="34" t="s">
        <v>1751</v>
      </c>
      <c r="F834" s="31" t="s">
        <v>1752</v>
      </c>
      <c r="G834" s="31" t="s">
        <v>1753</v>
      </c>
      <c r="H834" s="40">
        <v>45723</v>
      </c>
      <c r="I834" s="31" t="str">
        <f t="shared" ca="1" si="26"/>
        <v>●</v>
      </c>
      <c r="J834" s="31">
        <f t="shared" si="27"/>
        <v>832</v>
      </c>
    </row>
    <row r="835" spans="2:10">
      <c r="B835" s="31">
        <v>4</v>
      </c>
      <c r="D835" s="31" t="b">
        <v>1</v>
      </c>
      <c r="E835" s="34" t="s">
        <v>1754</v>
      </c>
      <c r="F835" s="31" t="s">
        <v>1755</v>
      </c>
      <c r="G835" s="31" t="s">
        <v>1756</v>
      </c>
      <c r="H835" s="40">
        <v>45723</v>
      </c>
      <c r="I835" s="31" t="str">
        <f t="shared" ca="1" si="26"/>
        <v>●</v>
      </c>
      <c r="J835" s="31">
        <f t="shared" si="27"/>
        <v>833</v>
      </c>
    </row>
    <row r="836" spans="2:10">
      <c r="B836" s="31">
        <v>4</v>
      </c>
      <c r="D836" s="31" t="b">
        <v>1</v>
      </c>
      <c r="E836" s="34" t="s">
        <v>1757</v>
      </c>
      <c r="F836" s="31" t="s">
        <v>1758</v>
      </c>
      <c r="G836" s="31" t="s">
        <v>1759</v>
      </c>
      <c r="H836" s="40">
        <v>45723</v>
      </c>
      <c r="I836" s="31" t="str">
        <f t="shared" ca="1" si="26"/>
        <v>●</v>
      </c>
      <c r="J836" s="31">
        <f t="shared" si="27"/>
        <v>834</v>
      </c>
    </row>
    <row r="837" spans="2:10">
      <c r="B837" s="31">
        <v>4</v>
      </c>
      <c r="D837" s="31" t="b">
        <v>1</v>
      </c>
      <c r="E837" s="34" t="s">
        <v>1760</v>
      </c>
      <c r="F837" s="31" t="s">
        <v>1761</v>
      </c>
      <c r="G837" s="31" t="s">
        <v>1762</v>
      </c>
      <c r="H837" s="40">
        <v>45723</v>
      </c>
      <c r="I837" s="31" t="str">
        <f t="shared" ca="1" si="26"/>
        <v>●</v>
      </c>
      <c r="J837" s="31">
        <f t="shared" si="27"/>
        <v>835</v>
      </c>
    </row>
    <row r="838" spans="2:10">
      <c r="B838" s="31">
        <v>4</v>
      </c>
      <c r="D838" s="31" t="b">
        <v>1</v>
      </c>
      <c r="E838" s="34" t="s">
        <v>1763</v>
      </c>
      <c r="F838" s="31" t="s">
        <v>1764</v>
      </c>
      <c r="G838" s="31" t="s">
        <v>1765</v>
      </c>
      <c r="H838" s="40">
        <v>45723</v>
      </c>
      <c r="I838" s="31" t="str">
        <f t="shared" ca="1" si="26"/>
        <v>●</v>
      </c>
      <c r="J838" s="31">
        <f t="shared" si="27"/>
        <v>836</v>
      </c>
    </row>
    <row r="839" spans="2:10">
      <c r="B839" s="31">
        <v>4</v>
      </c>
      <c r="D839" s="31" t="b">
        <v>1</v>
      </c>
      <c r="E839" s="34" t="s">
        <v>1766</v>
      </c>
      <c r="F839" s="31" t="s">
        <v>1767</v>
      </c>
      <c r="G839" s="31" t="s">
        <v>1768</v>
      </c>
      <c r="H839" s="40">
        <v>45723</v>
      </c>
      <c r="I839" s="31" t="str">
        <f t="shared" ca="1" si="26"/>
        <v>●</v>
      </c>
      <c r="J839" s="31">
        <f t="shared" si="27"/>
        <v>837</v>
      </c>
    </row>
    <row r="840" spans="2:10">
      <c r="B840" s="31">
        <v>4</v>
      </c>
      <c r="D840" s="31" t="b">
        <v>1</v>
      </c>
      <c r="E840" s="34" t="s">
        <v>1769</v>
      </c>
      <c r="F840" s="31" t="s">
        <v>1770</v>
      </c>
      <c r="G840" s="31" t="s">
        <v>1771</v>
      </c>
      <c r="H840" s="40">
        <v>45723</v>
      </c>
      <c r="I840" s="31" t="str">
        <f t="shared" ca="1" si="26"/>
        <v>●</v>
      </c>
      <c r="J840" s="31">
        <f t="shared" si="27"/>
        <v>838</v>
      </c>
    </row>
    <row r="841" spans="2:10">
      <c r="B841" s="31">
        <v>4</v>
      </c>
      <c r="D841" s="31" t="b">
        <v>1</v>
      </c>
      <c r="E841" s="34" t="s">
        <v>1772</v>
      </c>
      <c r="F841" s="31" t="s">
        <v>1773</v>
      </c>
      <c r="G841" s="31" t="s">
        <v>1774</v>
      </c>
      <c r="H841" s="40">
        <v>45723</v>
      </c>
      <c r="I841" s="31" t="str">
        <f t="shared" ca="1" si="26"/>
        <v>●</v>
      </c>
      <c r="J841" s="31">
        <f t="shared" si="27"/>
        <v>839</v>
      </c>
    </row>
    <row r="842" spans="2:10">
      <c r="B842" s="31">
        <v>4</v>
      </c>
      <c r="D842" s="31" t="b">
        <v>1</v>
      </c>
      <c r="E842" s="34" t="s">
        <v>1775</v>
      </c>
      <c r="F842" s="31" t="s">
        <v>1776</v>
      </c>
      <c r="G842" s="31" t="s">
        <v>1777</v>
      </c>
      <c r="H842" s="40">
        <v>45723</v>
      </c>
      <c r="I842" s="31" t="str">
        <f t="shared" ca="1" si="26"/>
        <v>●</v>
      </c>
      <c r="J842" s="31">
        <f t="shared" si="27"/>
        <v>840</v>
      </c>
    </row>
    <row r="843" spans="2:10">
      <c r="B843" s="31">
        <v>3</v>
      </c>
      <c r="D843" s="31" t="b">
        <v>0</v>
      </c>
      <c r="E843" s="34" t="s">
        <v>1778</v>
      </c>
      <c r="F843" s="31" t="s">
        <v>1779</v>
      </c>
      <c r="H843" s="40">
        <v>45727</v>
      </c>
      <c r="I843" s="31" t="str">
        <f t="shared" ca="1" si="26"/>
        <v>●</v>
      </c>
      <c r="J843" s="31">
        <f t="shared" si="27"/>
        <v>841</v>
      </c>
    </row>
    <row r="844" spans="2:10">
      <c r="B844" s="31">
        <v>3</v>
      </c>
      <c r="D844" s="31" t="b">
        <v>0</v>
      </c>
      <c r="E844" s="34" t="s">
        <v>1780</v>
      </c>
      <c r="F844" s="31" t="s">
        <v>1781</v>
      </c>
      <c r="H844" s="40">
        <v>45727</v>
      </c>
      <c r="I844" s="31" t="str">
        <f t="shared" ca="1" si="26"/>
        <v>●</v>
      </c>
      <c r="J844" s="31">
        <f t="shared" si="27"/>
        <v>842</v>
      </c>
    </row>
    <row r="845" spans="2:10">
      <c r="B845" s="31">
        <v>3</v>
      </c>
      <c r="D845" s="31" t="b">
        <v>0</v>
      </c>
      <c r="E845" s="34" t="s">
        <v>1782</v>
      </c>
      <c r="F845" s="31" t="s">
        <v>1783</v>
      </c>
      <c r="H845" s="40">
        <v>45727</v>
      </c>
      <c r="I845" s="31" t="str">
        <f t="shared" ca="1" si="26"/>
        <v>●</v>
      </c>
      <c r="J845" s="31">
        <f t="shared" si="27"/>
        <v>843</v>
      </c>
    </row>
    <row r="846" spans="2:10">
      <c r="B846" s="31">
        <v>3</v>
      </c>
      <c r="D846" s="35" t="b">
        <v>0</v>
      </c>
      <c r="E846" s="34" t="s">
        <v>1784</v>
      </c>
      <c r="F846" s="31" t="s">
        <v>1785</v>
      </c>
      <c r="H846" s="40">
        <v>45727</v>
      </c>
      <c r="I846" s="31" t="str">
        <f t="shared" ca="1" si="26"/>
        <v>●</v>
      </c>
      <c r="J846" s="31">
        <f t="shared" si="27"/>
        <v>844</v>
      </c>
    </row>
    <row r="847" spans="2:10">
      <c r="B847" s="31">
        <v>3</v>
      </c>
      <c r="D847" s="35" t="b">
        <v>0</v>
      </c>
      <c r="E847" s="34" t="s">
        <v>1786</v>
      </c>
      <c r="F847" s="31" t="s">
        <v>1787</v>
      </c>
      <c r="H847" s="40">
        <v>45727</v>
      </c>
      <c r="I847" s="31" t="str">
        <f t="shared" ca="1" si="26"/>
        <v>●</v>
      </c>
      <c r="J847" s="31">
        <f t="shared" si="27"/>
        <v>845</v>
      </c>
    </row>
    <row r="848" spans="2:10">
      <c r="B848" s="31">
        <v>3</v>
      </c>
      <c r="D848" s="31" t="b">
        <v>0</v>
      </c>
      <c r="E848" s="34" t="s">
        <v>1788</v>
      </c>
      <c r="F848" s="31" t="s">
        <v>1789</v>
      </c>
      <c r="H848" s="40">
        <v>45727</v>
      </c>
      <c r="I848" s="31" t="str">
        <f t="shared" ca="1" si="26"/>
        <v>●</v>
      </c>
      <c r="J848" s="31">
        <f t="shared" si="27"/>
        <v>846</v>
      </c>
    </row>
    <row r="849" spans="2:10">
      <c r="B849" s="31">
        <v>3</v>
      </c>
      <c r="D849" s="31" t="b">
        <v>0</v>
      </c>
      <c r="E849" s="34" t="s">
        <v>1790</v>
      </c>
      <c r="F849" s="31" t="s">
        <v>1791</v>
      </c>
      <c r="H849" s="40">
        <v>45727</v>
      </c>
      <c r="I849" s="31" t="str">
        <f t="shared" ca="1" si="26"/>
        <v>●</v>
      </c>
      <c r="J849" s="31">
        <f t="shared" si="27"/>
        <v>847</v>
      </c>
    </row>
    <row r="850" spans="2:10">
      <c r="B850" s="31">
        <v>3</v>
      </c>
      <c r="D850" s="31" t="b">
        <v>0</v>
      </c>
      <c r="E850" s="34" t="s">
        <v>1792</v>
      </c>
      <c r="F850" s="31" t="s">
        <v>1793</v>
      </c>
      <c r="H850" s="40">
        <v>45727</v>
      </c>
      <c r="I850" s="31" t="str">
        <f t="shared" ref="I850:I913" ca="1" si="28">IF(H850-$G$1&lt;=0,"●","")</f>
        <v>●</v>
      </c>
      <c r="J850" s="31">
        <f t="shared" ref="J850:J913" si="29">ROW()-2</f>
        <v>848</v>
      </c>
    </row>
    <row r="851" spans="2:10">
      <c r="B851" s="31">
        <v>3</v>
      </c>
      <c r="D851" s="31" t="b">
        <v>0</v>
      </c>
      <c r="E851" s="34" t="s">
        <v>1794</v>
      </c>
      <c r="F851" s="31" t="s">
        <v>1795</v>
      </c>
      <c r="H851" s="40">
        <v>45727</v>
      </c>
      <c r="I851" s="31" t="str">
        <f t="shared" ca="1" si="28"/>
        <v>●</v>
      </c>
      <c r="J851" s="31">
        <f t="shared" si="29"/>
        <v>849</v>
      </c>
    </row>
    <row r="852" spans="2:10">
      <c r="B852" s="31">
        <v>3</v>
      </c>
      <c r="D852" s="31" t="b">
        <v>0</v>
      </c>
      <c r="E852" s="34" t="s">
        <v>1796</v>
      </c>
      <c r="F852" s="31" t="s">
        <v>1797</v>
      </c>
      <c r="H852" s="40">
        <v>45727</v>
      </c>
      <c r="I852" s="31" t="str">
        <f t="shared" ca="1" si="28"/>
        <v>●</v>
      </c>
      <c r="J852" s="31">
        <f t="shared" si="29"/>
        <v>850</v>
      </c>
    </row>
    <row r="853" spans="2:10">
      <c r="B853" s="31">
        <v>3</v>
      </c>
      <c r="D853" s="31" t="b">
        <v>0</v>
      </c>
      <c r="E853" s="34" t="s">
        <v>1798</v>
      </c>
      <c r="F853" s="31" t="s">
        <v>1799</v>
      </c>
      <c r="H853" s="40">
        <v>45727</v>
      </c>
      <c r="I853" s="31" t="str">
        <f t="shared" ca="1" si="28"/>
        <v>●</v>
      </c>
      <c r="J853" s="31">
        <f t="shared" si="29"/>
        <v>851</v>
      </c>
    </row>
    <row r="854" spans="2:10">
      <c r="B854" s="31">
        <v>3</v>
      </c>
      <c r="D854" s="31" t="b">
        <v>0</v>
      </c>
      <c r="E854" s="34" t="s">
        <v>1800</v>
      </c>
      <c r="F854" s="31" t="s">
        <v>1801</v>
      </c>
      <c r="H854" s="40">
        <v>45727</v>
      </c>
      <c r="I854" s="31" t="str">
        <f t="shared" ca="1" si="28"/>
        <v>●</v>
      </c>
      <c r="J854" s="31">
        <f t="shared" si="29"/>
        <v>852</v>
      </c>
    </row>
    <row r="855" spans="2:10">
      <c r="B855" s="31">
        <v>3</v>
      </c>
      <c r="D855" s="31" t="b">
        <v>0</v>
      </c>
      <c r="E855" s="34" t="s">
        <v>1802</v>
      </c>
      <c r="F855" s="31" t="s">
        <v>1803</v>
      </c>
      <c r="H855" s="40">
        <v>45727</v>
      </c>
      <c r="I855" s="31" t="str">
        <f t="shared" ca="1" si="28"/>
        <v>●</v>
      </c>
      <c r="J855" s="31">
        <f t="shared" si="29"/>
        <v>853</v>
      </c>
    </row>
    <row r="856" spans="2:10">
      <c r="B856" s="31">
        <v>3</v>
      </c>
      <c r="D856" s="31" t="b">
        <v>0</v>
      </c>
      <c r="E856" s="34" t="s">
        <v>1804</v>
      </c>
      <c r="F856" s="31" t="s">
        <v>1805</v>
      </c>
      <c r="H856" s="40">
        <v>45727</v>
      </c>
      <c r="I856" s="31" t="str">
        <f t="shared" ca="1" si="28"/>
        <v>●</v>
      </c>
      <c r="J856" s="31">
        <f t="shared" si="29"/>
        <v>854</v>
      </c>
    </row>
    <row r="857" spans="2:10">
      <c r="B857" s="31">
        <v>3</v>
      </c>
      <c r="D857" s="31" t="b">
        <v>0</v>
      </c>
      <c r="E857" s="34" t="s">
        <v>1806</v>
      </c>
      <c r="F857" s="31" t="s">
        <v>1807</v>
      </c>
      <c r="H857" s="40">
        <v>45727</v>
      </c>
      <c r="I857" s="31" t="str">
        <f t="shared" ca="1" si="28"/>
        <v>●</v>
      </c>
      <c r="J857" s="31">
        <f t="shared" si="29"/>
        <v>855</v>
      </c>
    </row>
    <row r="858" spans="2:10">
      <c r="B858" s="31">
        <v>3</v>
      </c>
      <c r="D858" s="31" t="b">
        <v>0</v>
      </c>
      <c r="E858" s="34" t="s">
        <v>1808</v>
      </c>
      <c r="F858" s="31" t="s">
        <v>1809</v>
      </c>
      <c r="H858" s="40">
        <v>45727</v>
      </c>
      <c r="I858" s="31" t="str">
        <f t="shared" ca="1" si="28"/>
        <v>●</v>
      </c>
      <c r="J858" s="31">
        <f t="shared" si="29"/>
        <v>856</v>
      </c>
    </row>
    <row r="859" spans="2:10">
      <c r="B859" s="31">
        <v>3</v>
      </c>
      <c r="D859" s="31" t="b">
        <v>0</v>
      </c>
      <c r="E859" s="34" t="s">
        <v>1810</v>
      </c>
      <c r="F859" s="31" t="s">
        <v>1811</v>
      </c>
      <c r="H859" s="40">
        <v>45727</v>
      </c>
      <c r="I859" s="31" t="str">
        <f t="shared" ca="1" si="28"/>
        <v>●</v>
      </c>
      <c r="J859" s="31">
        <f t="shared" si="29"/>
        <v>857</v>
      </c>
    </row>
    <row r="860" spans="2:10" hidden="1">
      <c r="B860" s="31">
        <v>3</v>
      </c>
      <c r="C860" s="31" t="s">
        <v>116</v>
      </c>
      <c r="D860" s="35" t="b">
        <v>1</v>
      </c>
      <c r="E860" s="34" t="s">
        <v>1812</v>
      </c>
      <c r="F860" s="31" t="s">
        <v>1813</v>
      </c>
      <c r="H860" s="40">
        <v>45721</v>
      </c>
      <c r="I860" s="31" t="str">
        <f t="shared" ca="1" si="28"/>
        <v>●</v>
      </c>
      <c r="J860" s="31">
        <f t="shared" si="29"/>
        <v>858</v>
      </c>
    </row>
    <row r="861" spans="2:10" hidden="1">
      <c r="B861" s="31">
        <v>3</v>
      </c>
      <c r="C861" s="31" t="s">
        <v>116</v>
      </c>
      <c r="D861" s="35" t="b">
        <v>1</v>
      </c>
      <c r="E861" s="34" t="s">
        <v>1814</v>
      </c>
      <c r="F861" s="31" t="s">
        <v>1815</v>
      </c>
      <c r="H861" s="40">
        <v>45721</v>
      </c>
      <c r="I861" s="31" t="str">
        <f t="shared" ca="1" si="28"/>
        <v>●</v>
      </c>
      <c r="J861" s="31">
        <f t="shared" si="29"/>
        <v>859</v>
      </c>
    </row>
    <row r="862" spans="2:10" hidden="1">
      <c r="B862" s="31">
        <v>3</v>
      </c>
      <c r="C862" s="31" t="s">
        <v>116</v>
      </c>
      <c r="D862" s="35" t="b">
        <v>1</v>
      </c>
      <c r="E862" s="34" t="s">
        <v>1816</v>
      </c>
      <c r="F862" s="31" t="s">
        <v>1817</v>
      </c>
      <c r="H862" s="40">
        <v>45721</v>
      </c>
      <c r="I862" s="31" t="str">
        <f t="shared" ca="1" si="28"/>
        <v>●</v>
      </c>
      <c r="J862" s="31">
        <f t="shared" si="29"/>
        <v>860</v>
      </c>
    </row>
    <row r="863" spans="2:10" hidden="1">
      <c r="B863" s="31">
        <v>3</v>
      </c>
      <c r="C863" s="31" t="s">
        <v>116</v>
      </c>
      <c r="D863" s="35" t="b">
        <v>0</v>
      </c>
      <c r="E863" s="34" t="s">
        <v>1818</v>
      </c>
      <c r="F863" s="31" t="s">
        <v>1819</v>
      </c>
      <c r="H863" s="40">
        <v>45721</v>
      </c>
      <c r="I863" s="31" t="str">
        <f t="shared" ca="1" si="28"/>
        <v>●</v>
      </c>
      <c r="J863" s="31">
        <f t="shared" si="29"/>
        <v>861</v>
      </c>
    </row>
    <row r="864" spans="2:10" hidden="1">
      <c r="B864" s="31">
        <v>3</v>
      </c>
      <c r="C864" s="31" t="s">
        <v>116</v>
      </c>
      <c r="D864" s="35" t="b">
        <v>1</v>
      </c>
      <c r="E864" s="34" t="s">
        <v>1820</v>
      </c>
      <c r="F864" s="31" t="s">
        <v>1821</v>
      </c>
      <c r="H864" s="40">
        <v>45721</v>
      </c>
      <c r="I864" s="31" t="str">
        <f t="shared" ca="1" si="28"/>
        <v>●</v>
      </c>
      <c r="J864" s="31">
        <f t="shared" si="29"/>
        <v>862</v>
      </c>
    </row>
    <row r="865" spans="2:10" hidden="1">
      <c r="B865" s="31">
        <v>3</v>
      </c>
      <c r="C865" s="31" t="s">
        <v>116</v>
      </c>
      <c r="D865" s="35" t="b">
        <v>0</v>
      </c>
      <c r="E865" s="34" t="s">
        <v>1822</v>
      </c>
      <c r="F865" s="31" t="s">
        <v>1823</v>
      </c>
      <c r="H865" s="40">
        <v>45721</v>
      </c>
      <c r="I865" s="31" t="str">
        <f t="shared" ca="1" si="28"/>
        <v>●</v>
      </c>
      <c r="J865" s="31">
        <f t="shared" si="29"/>
        <v>863</v>
      </c>
    </row>
    <row r="866" spans="2:10" hidden="1">
      <c r="B866" s="31">
        <v>3</v>
      </c>
      <c r="C866" s="31" t="s">
        <v>116</v>
      </c>
      <c r="D866" s="35" t="b">
        <v>1</v>
      </c>
      <c r="E866" s="34" t="s">
        <v>1824</v>
      </c>
      <c r="F866" s="31" t="s">
        <v>1825</v>
      </c>
      <c r="H866" s="40">
        <v>45721</v>
      </c>
      <c r="I866" s="31" t="str">
        <f t="shared" ca="1" si="28"/>
        <v>●</v>
      </c>
      <c r="J866" s="31">
        <f t="shared" si="29"/>
        <v>864</v>
      </c>
    </row>
    <row r="867" spans="2:10" hidden="1">
      <c r="B867" s="31">
        <v>3</v>
      </c>
      <c r="C867" s="31" t="s">
        <v>116</v>
      </c>
      <c r="D867" s="35" t="b">
        <v>1</v>
      </c>
      <c r="E867" s="34" t="s">
        <v>1826</v>
      </c>
      <c r="F867" s="31" t="s">
        <v>1827</v>
      </c>
      <c r="H867" s="40">
        <v>45721</v>
      </c>
      <c r="I867" s="31" t="str">
        <f t="shared" ca="1" si="28"/>
        <v>●</v>
      </c>
      <c r="J867" s="31">
        <f t="shared" si="29"/>
        <v>865</v>
      </c>
    </row>
    <row r="868" spans="2:10" hidden="1">
      <c r="B868" s="31">
        <v>3</v>
      </c>
      <c r="C868" s="31" t="s">
        <v>116</v>
      </c>
      <c r="D868" s="35" t="b">
        <v>1</v>
      </c>
      <c r="E868" s="34" t="s">
        <v>1828</v>
      </c>
      <c r="F868" s="31" t="s">
        <v>1829</v>
      </c>
      <c r="H868" s="40">
        <v>45721</v>
      </c>
      <c r="I868" s="31" t="str">
        <f t="shared" ca="1" si="28"/>
        <v>●</v>
      </c>
      <c r="J868" s="31">
        <f t="shared" si="29"/>
        <v>866</v>
      </c>
    </row>
    <row r="869" spans="2:10" hidden="1">
      <c r="B869" s="31">
        <v>3</v>
      </c>
      <c r="C869" s="31" t="s">
        <v>116</v>
      </c>
      <c r="D869" s="35" t="b">
        <v>1</v>
      </c>
      <c r="E869" s="34" t="s">
        <v>1830</v>
      </c>
      <c r="F869" s="31" t="s">
        <v>1831</v>
      </c>
      <c r="H869" s="40">
        <v>45721</v>
      </c>
      <c r="I869" s="31" t="str">
        <f t="shared" ca="1" si="28"/>
        <v>●</v>
      </c>
      <c r="J869" s="31">
        <f t="shared" si="29"/>
        <v>867</v>
      </c>
    </row>
    <row r="870" spans="2:10" hidden="1">
      <c r="B870" s="31">
        <v>3</v>
      </c>
      <c r="C870" s="31" t="s">
        <v>116</v>
      </c>
      <c r="D870" s="31" t="b">
        <v>1</v>
      </c>
      <c r="E870" s="34" t="s">
        <v>1832</v>
      </c>
      <c r="F870" s="31" t="s">
        <v>1833</v>
      </c>
      <c r="H870" s="40">
        <v>45724</v>
      </c>
      <c r="I870" s="31" t="str">
        <f t="shared" ca="1" si="28"/>
        <v>●</v>
      </c>
      <c r="J870" s="31">
        <f t="shared" si="29"/>
        <v>868</v>
      </c>
    </row>
    <row r="871" spans="2:10" hidden="1">
      <c r="B871" s="35">
        <v>3</v>
      </c>
      <c r="C871" s="31" t="s">
        <v>116</v>
      </c>
      <c r="D871" s="35" t="b">
        <v>1</v>
      </c>
      <c r="E871" s="34" t="s">
        <v>1834</v>
      </c>
      <c r="F871" s="31" t="s">
        <v>1835</v>
      </c>
      <c r="H871" s="40">
        <v>45721</v>
      </c>
      <c r="I871" s="31" t="str">
        <f t="shared" ca="1" si="28"/>
        <v>●</v>
      </c>
      <c r="J871" s="31">
        <f t="shared" si="29"/>
        <v>869</v>
      </c>
    </row>
    <row r="872" spans="2:10" hidden="1">
      <c r="B872" s="35">
        <v>3</v>
      </c>
      <c r="C872" s="31" t="s">
        <v>116</v>
      </c>
      <c r="D872" s="35" t="b">
        <v>1</v>
      </c>
      <c r="E872" s="34" t="s">
        <v>1836</v>
      </c>
      <c r="F872" s="31" t="s">
        <v>1837</v>
      </c>
      <c r="H872" s="40">
        <v>45721</v>
      </c>
      <c r="I872" s="31" t="str">
        <f t="shared" ca="1" si="28"/>
        <v>●</v>
      </c>
      <c r="J872" s="31">
        <f t="shared" si="29"/>
        <v>870</v>
      </c>
    </row>
    <row r="873" spans="2:10" hidden="1">
      <c r="B873" s="35">
        <v>3</v>
      </c>
      <c r="C873" s="31" t="s">
        <v>116</v>
      </c>
      <c r="D873" s="35" t="b">
        <v>1</v>
      </c>
      <c r="E873" s="34" t="s">
        <v>1838</v>
      </c>
      <c r="F873" s="31" t="s">
        <v>1839</v>
      </c>
      <c r="H873" s="40">
        <v>45721</v>
      </c>
      <c r="I873" s="31" t="str">
        <f t="shared" ca="1" si="28"/>
        <v>●</v>
      </c>
      <c r="J873" s="31">
        <f t="shared" si="29"/>
        <v>871</v>
      </c>
    </row>
    <row r="874" spans="2:10" hidden="1">
      <c r="B874" s="31">
        <v>3</v>
      </c>
      <c r="C874" s="31" t="s">
        <v>116</v>
      </c>
      <c r="D874" s="35" t="b">
        <v>1</v>
      </c>
      <c r="E874" s="34" t="s">
        <v>1840</v>
      </c>
      <c r="F874" s="31" t="s">
        <v>1841</v>
      </c>
      <c r="H874" s="40">
        <v>45711</v>
      </c>
      <c r="I874" s="31" t="str">
        <f t="shared" ca="1" si="28"/>
        <v>●</v>
      </c>
      <c r="J874" s="31">
        <f t="shared" si="29"/>
        <v>872</v>
      </c>
    </row>
    <row r="875" spans="2:10" hidden="1">
      <c r="B875" s="31">
        <v>3</v>
      </c>
      <c r="C875" s="31" t="s">
        <v>116</v>
      </c>
      <c r="D875" s="35" t="b">
        <v>1</v>
      </c>
      <c r="E875" s="34" t="s">
        <v>1842</v>
      </c>
      <c r="F875" s="31" t="s">
        <v>1843</v>
      </c>
      <c r="H875" s="40">
        <v>45706</v>
      </c>
      <c r="I875" s="31" t="str">
        <f t="shared" ca="1" si="28"/>
        <v>●</v>
      </c>
      <c r="J875" s="31">
        <f t="shared" si="29"/>
        <v>873</v>
      </c>
    </row>
    <row r="876" spans="2:10">
      <c r="B876" s="31">
        <v>3</v>
      </c>
      <c r="D876" s="31" t="b">
        <v>1</v>
      </c>
      <c r="E876" s="34" t="s">
        <v>1844</v>
      </c>
      <c r="F876" s="31" t="s">
        <v>1845</v>
      </c>
      <c r="G876" s="31" t="s">
        <v>1846</v>
      </c>
      <c r="H876" s="40">
        <v>45711</v>
      </c>
      <c r="I876" s="31" t="str">
        <f t="shared" ca="1" si="28"/>
        <v>●</v>
      </c>
      <c r="J876" s="31">
        <f t="shared" si="29"/>
        <v>874</v>
      </c>
    </row>
    <row r="877" spans="2:10">
      <c r="B877" s="31">
        <v>3</v>
      </c>
      <c r="D877" s="31" t="b">
        <v>1</v>
      </c>
      <c r="E877" s="34" t="s">
        <v>1847</v>
      </c>
      <c r="F877" s="31" t="s">
        <v>1848</v>
      </c>
      <c r="G877" s="31" t="s">
        <v>1849</v>
      </c>
      <c r="H877" s="40">
        <v>45711</v>
      </c>
      <c r="I877" s="31" t="str">
        <f t="shared" ca="1" si="28"/>
        <v>●</v>
      </c>
      <c r="J877" s="31">
        <f t="shared" si="29"/>
        <v>875</v>
      </c>
    </row>
    <row r="878" spans="2:10" hidden="1">
      <c r="B878" s="31">
        <v>3</v>
      </c>
      <c r="C878" s="31" t="s">
        <v>116</v>
      </c>
      <c r="D878" s="35" t="b">
        <v>0</v>
      </c>
      <c r="E878" s="34" t="s">
        <v>616</v>
      </c>
      <c r="F878" s="31" t="s">
        <v>1850</v>
      </c>
      <c r="H878" s="40">
        <v>45706</v>
      </c>
      <c r="I878" s="31" t="str">
        <f t="shared" ca="1" si="28"/>
        <v>●</v>
      </c>
      <c r="J878" s="31">
        <f t="shared" si="29"/>
        <v>876</v>
      </c>
    </row>
    <row r="879" spans="2:10">
      <c r="B879" s="31">
        <v>3</v>
      </c>
      <c r="D879" s="31" t="b">
        <v>1</v>
      </c>
      <c r="E879" s="34" t="s">
        <v>1851</v>
      </c>
      <c r="F879" s="31" t="s">
        <v>1852</v>
      </c>
      <c r="H879" s="40">
        <v>45706</v>
      </c>
      <c r="I879" s="31" t="str">
        <f t="shared" ca="1" si="28"/>
        <v>●</v>
      </c>
      <c r="J879" s="31">
        <f t="shared" si="29"/>
        <v>877</v>
      </c>
    </row>
    <row r="880" spans="2:10">
      <c r="B880" s="31">
        <v>3</v>
      </c>
      <c r="D880" s="31" t="b">
        <v>1</v>
      </c>
      <c r="E880" s="34" t="s">
        <v>1853</v>
      </c>
      <c r="F880" s="31" t="s">
        <v>1854</v>
      </c>
      <c r="H880" s="40">
        <v>45706</v>
      </c>
      <c r="I880" s="31" t="str">
        <f t="shared" ca="1" si="28"/>
        <v>●</v>
      </c>
      <c r="J880" s="31">
        <f t="shared" si="29"/>
        <v>878</v>
      </c>
    </row>
    <row r="881" spans="2:10">
      <c r="B881" s="31">
        <v>3</v>
      </c>
      <c r="D881" s="31" t="b">
        <v>1</v>
      </c>
      <c r="E881" s="34" t="s">
        <v>1855</v>
      </c>
      <c r="F881" s="31" t="s">
        <v>1856</v>
      </c>
      <c r="G881" s="31" t="s">
        <v>1857</v>
      </c>
      <c r="H881" s="40">
        <v>45706</v>
      </c>
      <c r="I881" s="31" t="str">
        <f t="shared" ca="1" si="28"/>
        <v>●</v>
      </c>
      <c r="J881" s="31">
        <f t="shared" si="29"/>
        <v>879</v>
      </c>
    </row>
    <row r="882" spans="2:10">
      <c r="B882" s="31">
        <v>3</v>
      </c>
      <c r="D882" s="31" t="b">
        <v>1</v>
      </c>
      <c r="E882" s="34" t="s">
        <v>1858</v>
      </c>
      <c r="F882" s="31" t="s">
        <v>1859</v>
      </c>
      <c r="G882" s="31" t="s">
        <v>1860</v>
      </c>
      <c r="H882" s="40">
        <v>45706</v>
      </c>
      <c r="I882" s="31" t="str">
        <f t="shared" ca="1" si="28"/>
        <v>●</v>
      </c>
      <c r="J882" s="31">
        <f t="shared" si="29"/>
        <v>880</v>
      </c>
    </row>
    <row r="883" spans="2:10">
      <c r="B883" s="31">
        <v>3</v>
      </c>
      <c r="D883" s="31" t="b">
        <v>1</v>
      </c>
      <c r="E883" s="34" t="s">
        <v>1861</v>
      </c>
      <c r="F883" s="31" t="s">
        <v>1862</v>
      </c>
      <c r="G883" s="31" t="s">
        <v>1863</v>
      </c>
      <c r="H883" s="40">
        <v>45706</v>
      </c>
      <c r="I883" s="31" t="str">
        <f t="shared" ca="1" si="28"/>
        <v>●</v>
      </c>
      <c r="J883" s="31">
        <f t="shared" si="29"/>
        <v>881</v>
      </c>
    </row>
    <row r="884" spans="2:10">
      <c r="B884" s="31">
        <v>3</v>
      </c>
      <c r="D884" s="31" t="b">
        <v>1</v>
      </c>
      <c r="E884" s="34" t="s">
        <v>1864</v>
      </c>
      <c r="F884" s="31" t="s">
        <v>1865</v>
      </c>
      <c r="G884" s="31" t="s">
        <v>1866</v>
      </c>
      <c r="H884" s="40">
        <v>45706</v>
      </c>
      <c r="I884" s="31" t="str">
        <f t="shared" ca="1" si="28"/>
        <v>●</v>
      </c>
      <c r="J884" s="31">
        <f t="shared" si="29"/>
        <v>882</v>
      </c>
    </row>
    <row r="885" spans="2:10">
      <c r="B885" s="31">
        <v>3</v>
      </c>
      <c r="D885" s="31" t="b">
        <v>1</v>
      </c>
      <c r="E885" s="34" t="s">
        <v>1867</v>
      </c>
      <c r="F885" s="31" t="s">
        <v>1868</v>
      </c>
      <c r="G885" s="31" t="s">
        <v>1869</v>
      </c>
      <c r="H885" s="40">
        <v>45706</v>
      </c>
      <c r="I885" s="31" t="str">
        <f t="shared" ca="1" si="28"/>
        <v>●</v>
      </c>
      <c r="J885" s="31">
        <f t="shared" si="29"/>
        <v>883</v>
      </c>
    </row>
    <row r="886" spans="2:10">
      <c r="B886" s="31">
        <v>3</v>
      </c>
      <c r="D886" s="31" t="b">
        <v>1</v>
      </c>
      <c r="E886" s="34" t="s">
        <v>1870</v>
      </c>
      <c r="F886" s="31" t="s">
        <v>1871</v>
      </c>
      <c r="G886" s="31" t="s">
        <v>1872</v>
      </c>
      <c r="H886" s="40">
        <v>45706</v>
      </c>
      <c r="I886" s="31" t="str">
        <f t="shared" ca="1" si="28"/>
        <v>●</v>
      </c>
      <c r="J886" s="31">
        <f t="shared" si="29"/>
        <v>884</v>
      </c>
    </row>
    <row r="887" spans="2:10">
      <c r="B887" s="31">
        <v>3</v>
      </c>
      <c r="D887" s="31" t="b">
        <v>1</v>
      </c>
      <c r="E887" s="34" t="s">
        <v>1873</v>
      </c>
      <c r="F887" s="31" t="s">
        <v>1874</v>
      </c>
      <c r="G887" s="31" t="s">
        <v>1875</v>
      </c>
      <c r="H887" s="40">
        <v>45706</v>
      </c>
      <c r="I887" s="31" t="str">
        <f t="shared" ca="1" si="28"/>
        <v>●</v>
      </c>
      <c r="J887" s="31">
        <f t="shared" si="29"/>
        <v>885</v>
      </c>
    </row>
    <row r="888" spans="2:10">
      <c r="B888" s="31">
        <v>3</v>
      </c>
      <c r="D888" s="31" t="b">
        <v>1</v>
      </c>
      <c r="E888" s="34" t="s">
        <v>1876</v>
      </c>
      <c r="F888" s="31" t="s">
        <v>1877</v>
      </c>
      <c r="G888" s="31" t="s">
        <v>1878</v>
      </c>
      <c r="H888" s="40">
        <v>45706</v>
      </c>
      <c r="I888" s="31" t="str">
        <f t="shared" ca="1" si="28"/>
        <v>●</v>
      </c>
      <c r="J888" s="31">
        <f t="shared" si="29"/>
        <v>886</v>
      </c>
    </row>
    <row r="889" spans="2:10">
      <c r="B889" s="31">
        <v>3</v>
      </c>
      <c r="D889" s="31" t="b">
        <v>1</v>
      </c>
      <c r="E889" s="34" t="s">
        <v>1879</v>
      </c>
      <c r="F889" s="31" t="s">
        <v>1880</v>
      </c>
      <c r="G889" s="31" t="s">
        <v>1881</v>
      </c>
      <c r="H889" s="40">
        <v>45706</v>
      </c>
      <c r="I889" s="31" t="str">
        <f t="shared" ca="1" si="28"/>
        <v>●</v>
      </c>
      <c r="J889" s="31">
        <f t="shared" si="29"/>
        <v>887</v>
      </c>
    </row>
    <row r="890" spans="2:10">
      <c r="B890" s="31">
        <v>3</v>
      </c>
      <c r="D890" s="31" t="b">
        <v>1</v>
      </c>
      <c r="E890" s="34" t="s">
        <v>1882</v>
      </c>
      <c r="F890" s="31" t="s">
        <v>1883</v>
      </c>
      <c r="G890" s="31" t="s">
        <v>1884</v>
      </c>
      <c r="H890" s="40">
        <v>45706</v>
      </c>
      <c r="I890" s="31" t="str">
        <f t="shared" ca="1" si="28"/>
        <v>●</v>
      </c>
      <c r="J890" s="31">
        <f t="shared" si="29"/>
        <v>888</v>
      </c>
    </row>
    <row r="891" spans="2:10">
      <c r="B891" s="31">
        <v>3</v>
      </c>
      <c r="D891" s="31" t="b">
        <v>1</v>
      </c>
      <c r="E891" s="34" t="s">
        <v>1885</v>
      </c>
      <c r="F891" s="31" t="s">
        <v>1886</v>
      </c>
      <c r="G891" s="31" t="s">
        <v>1887</v>
      </c>
      <c r="H891" s="40">
        <v>45711</v>
      </c>
      <c r="I891" s="31" t="str">
        <f t="shared" ca="1" si="28"/>
        <v>●</v>
      </c>
      <c r="J891" s="31">
        <f t="shared" si="29"/>
        <v>889</v>
      </c>
    </row>
    <row r="892" spans="2:10">
      <c r="B892" s="31">
        <v>3</v>
      </c>
      <c r="D892" s="31" t="b">
        <v>1</v>
      </c>
      <c r="E892" s="34" t="s">
        <v>1888</v>
      </c>
      <c r="F892" s="31" t="s">
        <v>1889</v>
      </c>
      <c r="G892" s="31" t="s">
        <v>1890</v>
      </c>
      <c r="H892" s="40">
        <v>45706</v>
      </c>
      <c r="I892" s="31" t="str">
        <f t="shared" ca="1" si="28"/>
        <v>●</v>
      </c>
      <c r="J892" s="31">
        <f t="shared" si="29"/>
        <v>890</v>
      </c>
    </row>
    <row r="893" spans="2:10">
      <c r="B893" s="31">
        <v>3</v>
      </c>
      <c r="D893" s="31" t="b">
        <v>1</v>
      </c>
      <c r="E893" s="34" t="s">
        <v>1891</v>
      </c>
      <c r="F893" s="31" t="s">
        <v>1892</v>
      </c>
      <c r="G893" s="31" t="s">
        <v>1893</v>
      </c>
      <c r="H893" s="40">
        <v>45711</v>
      </c>
      <c r="I893" s="31" t="str">
        <f t="shared" ca="1" si="28"/>
        <v>●</v>
      </c>
      <c r="J893" s="31">
        <f t="shared" si="29"/>
        <v>891</v>
      </c>
    </row>
    <row r="894" spans="2:10">
      <c r="B894" s="31">
        <v>3</v>
      </c>
      <c r="D894" s="31" t="b">
        <v>1</v>
      </c>
      <c r="E894" s="34" t="s">
        <v>1894</v>
      </c>
      <c r="F894" s="31" t="s">
        <v>1895</v>
      </c>
      <c r="G894" s="31" t="s">
        <v>1896</v>
      </c>
      <c r="H894" s="40">
        <v>45706</v>
      </c>
      <c r="I894" s="31" t="str">
        <f t="shared" ca="1" si="28"/>
        <v>●</v>
      </c>
      <c r="J894" s="31">
        <f t="shared" si="29"/>
        <v>892</v>
      </c>
    </row>
    <row r="895" spans="2:10">
      <c r="B895" s="31">
        <v>3</v>
      </c>
      <c r="D895" s="31" t="b">
        <v>1</v>
      </c>
      <c r="E895" s="34" t="s">
        <v>1897</v>
      </c>
      <c r="F895" s="31" t="s">
        <v>1898</v>
      </c>
      <c r="G895" s="31" t="s">
        <v>1899</v>
      </c>
      <c r="H895" s="40">
        <v>45706</v>
      </c>
      <c r="I895" s="31" t="str">
        <f t="shared" ca="1" si="28"/>
        <v>●</v>
      </c>
      <c r="J895" s="31">
        <f t="shared" si="29"/>
        <v>893</v>
      </c>
    </row>
    <row r="896" spans="2:10">
      <c r="B896" s="31">
        <v>3</v>
      </c>
      <c r="D896" s="31" t="b">
        <v>1</v>
      </c>
      <c r="E896" s="34" t="s">
        <v>1900</v>
      </c>
      <c r="F896" s="31" t="s">
        <v>1901</v>
      </c>
      <c r="G896" s="31" t="s">
        <v>1902</v>
      </c>
      <c r="H896" s="40">
        <v>45706</v>
      </c>
      <c r="I896" s="31" t="str">
        <f t="shared" ca="1" si="28"/>
        <v>●</v>
      </c>
      <c r="J896" s="31">
        <f t="shared" si="29"/>
        <v>894</v>
      </c>
    </row>
    <row r="897" spans="2:10">
      <c r="B897" s="31">
        <v>3</v>
      </c>
      <c r="D897" s="31" t="b">
        <v>1</v>
      </c>
      <c r="E897" s="34" t="s">
        <v>1903</v>
      </c>
      <c r="F897" s="31" t="s">
        <v>1904</v>
      </c>
      <c r="G897" s="31" t="s">
        <v>1905</v>
      </c>
      <c r="H897" s="40">
        <v>45706</v>
      </c>
      <c r="I897" s="31" t="str">
        <f t="shared" ca="1" si="28"/>
        <v>●</v>
      </c>
      <c r="J897" s="31">
        <f t="shared" si="29"/>
        <v>895</v>
      </c>
    </row>
    <row r="898" spans="2:10">
      <c r="B898" s="31">
        <v>3</v>
      </c>
      <c r="D898" s="31" t="b">
        <v>1</v>
      </c>
      <c r="E898" s="34" t="s">
        <v>1906</v>
      </c>
      <c r="F898" s="31" t="s">
        <v>1907</v>
      </c>
      <c r="G898" s="31" t="s">
        <v>1908</v>
      </c>
      <c r="H898" s="40">
        <v>45706</v>
      </c>
      <c r="I898" s="31" t="str">
        <f t="shared" ca="1" si="28"/>
        <v>●</v>
      </c>
      <c r="J898" s="31">
        <f t="shared" si="29"/>
        <v>896</v>
      </c>
    </row>
    <row r="899" spans="2:10">
      <c r="B899" s="31">
        <v>3</v>
      </c>
      <c r="D899" s="31" t="b">
        <v>1</v>
      </c>
      <c r="E899" s="34" t="s">
        <v>1909</v>
      </c>
      <c r="F899" s="31" t="s">
        <v>1910</v>
      </c>
      <c r="G899" s="31" t="s">
        <v>1911</v>
      </c>
      <c r="H899" s="40">
        <v>45706</v>
      </c>
      <c r="I899" s="31" t="str">
        <f t="shared" ca="1" si="28"/>
        <v>●</v>
      </c>
      <c r="J899" s="31">
        <f t="shared" si="29"/>
        <v>897</v>
      </c>
    </row>
    <row r="900" spans="2:10">
      <c r="B900" s="31">
        <v>3</v>
      </c>
      <c r="D900" s="31" t="b">
        <v>1</v>
      </c>
      <c r="E900" s="34" t="s">
        <v>1912</v>
      </c>
      <c r="F900" s="31" t="s">
        <v>1913</v>
      </c>
      <c r="G900" s="31" t="s">
        <v>1914</v>
      </c>
      <c r="H900" s="40">
        <v>45711</v>
      </c>
      <c r="I900" s="31" t="str">
        <f t="shared" ca="1" si="28"/>
        <v>●</v>
      </c>
      <c r="J900" s="31">
        <f t="shared" si="29"/>
        <v>898</v>
      </c>
    </row>
    <row r="901" spans="2:10">
      <c r="B901" s="31">
        <v>3</v>
      </c>
      <c r="D901" s="31" t="b">
        <v>1</v>
      </c>
      <c r="E901" s="34" t="s">
        <v>1915</v>
      </c>
      <c r="F901" s="31" t="s">
        <v>1916</v>
      </c>
      <c r="G901" s="31" t="s">
        <v>1917</v>
      </c>
      <c r="H901" s="40">
        <v>45706</v>
      </c>
      <c r="I901" s="31" t="str">
        <f t="shared" ca="1" si="28"/>
        <v>●</v>
      </c>
      <c r="J901" s="31">
        <f t="shared" si="29"/>
        <v>899</v>
      </c>
    </row>
    <row r="902" spans="2:10">
      <c r="B902" s="31">
        <v>3</v>
      </c>
      <c r="D902" s="31" t="b">
        <v>1</v>
      </c>
      <c r="E902" s="34" t="s">
        <v>1918</v>
      </c>
      <c r="F902" s="31" t="s">
        <v>1919</v>
      </c>
      <c r="G902" s="31" t="s">
        <v>1920</v>
      </c>
      <c r="H902" s="40">
        <v>45706</v>
      </c>
      <c r="I902" s="31" t="str">
        <f t="shared" ca="1" si="28"/>
        <v>●</v>
      </c>
      <c r="J902" s="31">
        <f t="shared" si="29"/>
        <v>900</v>
      </c>
    </row>
    <row r="903" spans="2:10">
      <c r="B903" s="31">
        <v>3</v>
      </c>
      <c r="D903" s="31" t="b">
        <v>1</v>
      </c>
      <c r="E903" s="34" t="s">
        <v>1921</v>
      </c>
      <c r="F903" s="31" t="s">
        <v>1922</v>
      </c>
      <c r="G903" s="31" t="s">
        <v>1923</v>
      </c>
      <c r="H903" s="40">
        <v>45706</v>
      </c>
      <c r="I903" s="31" t="str">
        <f t="shared" ca="1" si="28"/>
        <v>●</v>
      </c>
      <c r="J903" s="31">
        <f t="shared" si="29"/>
        <v>901</v>
      </c>
    </row>
    <row r="904" spans="2:10">
      <c r="B904" s="31">
        <v>3</v>
      </c>
      <c r="D904" s="31" t="b">
        <v>1</v>
      </c>
      <c r="E904" s="34" t="s">
        <v>1924</v>
      </c>
      <c r="F904" s="31" t="s">
        <v>1925</v>
      </c>
      <c r="G904" s="31" t="s">
        <v>1926</v>
      </c>
      <c r="H904" s="40">
        <v>45711</v>
      </c>
      <c r="I904" s="31" t="str">
        <f t="shared" ca="1" si="28"/>
        <v>●</v>
      </c>
      <c r="J904" s="31">
        <f t="shared" si="29"/>
        <v>902</v>
      </c>
    </row>
    <row r="905" spans="2:10">
      <c r="B905" s="31">
        <v>3</v>
      </c>
      <c r="D905" s="31" t="b">
        <v>1</v>
      </c>
      <c r="E905" s="34" t="s">
        <v>1927</v>
      </c>
      <c r="F905" s="31" t="s">
        <v>1928</v>
      </c>
      <c r="G905" s="31" t="s">
        <v>1929</v>
      </c>
      <c r="H905" s="40">
        <v>45706</v>
      </c>
      <c r="I905" s="31" t="str">
        <f t="shared" ca="1" si="28"/>
        <v>●</v>
      </c>
      <c r="J905" s="31">
        <f t="shared" si="29"/>
        <v>903</v>
      </c>
    </row>
    <row r="906" spans="2:10">
      <c r="B906" s="31">
        <v>3</v>
      </c>
      <c r="D906" s="31" t="b">
        <v>1</v>
      </c>
      <c r="E906" s="34" t="s">
        <v>1930</v>
      </c>
      <c r="F906" s="31" t="s">
        <v>1931</v>
      </c>
      <c r="G906" s="31" t="s">
        <v>1932</v>
      </c>
      <c r="H906" s="40">
        <v>45706</v>
      </c>
      <c r="I906" s="31" t="str">
        <f t="shared" ca="1" si="28"/>
        <v>●</v>
      </c>
      <c r="J906" s="31">
        <f t="shared" si="29"/>
        <v>904</v>
      </c>
    </row>
    <row r="907" spans="2:10">
      <c r="B907" s="31">
        <v>3</v>
      </c>
      <c r="D907" s="31" t="b">
        <v>1</v>
      </c>
      <c r="E907" s="34" t="s">
        <v>1933</v>
      </c>
      <c r="F907" s="31" t="s">
        <v>1934</v>
      </c>
      <c r="G907" s="31" t="s">
        <v>1935</v>
      </c>
      <c r="H907" s="40">
        <v>45711</v>
      </c>
      <c r="I907" s="31" t="str">
        <f t="shared" ca="1" si="28"/>
        <v>●</v>
      </c>
      <c r="J907" s="31">
        <f t="shared" si="29"/>
        <v>905</v>
      </c>
    </row>
    <row r="908" spans="2:10">
      <c r="B908" s="31">
        <v>3</v>
      </c>
      <c r="D908" s="31" t="b">
        <v>1</v>
      </c>
      <c r="E908" s="34" t="s">
        <v>1936</v>
      </c>
      <c r="F908" s="31" t="s">
        <v>1937</v>
      </c>
      <c r="G908" s="31" t="s">
        <v>1938</v>
      </c>
      <c r="H908" s="40">
        <v>45711</v>
      </c>
      <c r="I908" s="31" t="str">
        <f t="shared" ca="1" si="28"/>
        <v>●</v>
      </c>
      <c r="J908" s="31">
        <f t="shared" si="29"/>
        <v>906</v>
      </c>
    </row>
    <row r="909" spans="2:10">
      <c r="B909" s="31">
        <v>3</v>
      </c>
      <c r="D909" s="31" t="b">
        <v>1</v>
      </c>
      <c r="E909" s="34" t="s">
        <v>1939</v>
      </c>
      <c r="F909" s="31" t="s">
        <v>1940</v>
      </c>
      <c r="G909" s="31" t="s">
        <v>1941</v>
      </c>
      <c r="H909" s="40">
        <v>45706</v>
      </c>
      <c r="I909" s="31" t="str">
        <f t="shared" ca="1" si="28"/>
        <v>●</v>
      </c>
      <c r="J909" s="31">
        <f t="shared" si="29"/>
        <v>907</v>
      </c>
    </row>
    <row r="910" spans="2:10">
      <c r="B910" s="31">
        <v>3</v>
      </c>
      <c r="D910" s="31" t="b">
        <v>1</v>
      </c>
      <c r="E910" s="34" t="s">
        <v>1942</v>
      </c>
      <c r="F910" s="31" t="s">
        <v>1943</v>
      </c>
      <c r="G910" s="31" t="s">
        <v>1944</v>
      </c>
      <c r="H910" s="40">
        <v>45706</v>
      </c>
      <c r="I910" s="31" t="str">
        <f t="shared" ca="1" si="28"/>
        <v>●</v>
      </c>
      <c r="J910" s="31">
        <f t="shared" si="29"/>
        <v>908</v>
      </c>
    </row>
    <row r="911" spans="2:10">
      <c r="B911" s="31">
        <v>3</v>
      </c>
      <c r="D911" s="31" t="b">
        <v>1</v>
      </c>
      <c r="E911" s="34" t="s">
        <v>1945</v>
      </c>
      <c r="F911" s="31" t="s">
        <v>1946</v>
      </c>
      <c r="G911" s="31" t="s">
        <v>1947</v>
      </c>
      <c r="H911" s="40">
        <v>45706</v>
      </c>
      <c r="I911" s="31" t="str">
        <f t="shared" ca="1" si="28"/>
        <v>●</v>
      </c>
      <c r="J911" s="31">
        <f t="shared" si="29"/>
        <v>909</v>
      </c>
    </row>
    <row r="912" spans="2:10">
      <c r="B912" s="31">
        <v>3</v>
      </c>
      <c r="D912" s="31" t="b">
        <v>1</v>
      </c>
      <c r="E912" s="34" t="s">
        <v>1948</v>
      </c>
      <c r="F912" s="31" t="s">
        <v>1949</v>
      </c>
      <c r="G912" s="31" t="s">
        <v>1950</v>
      </c>
      <c r="H912" s="40">
        <v>45706</v>
      </c>
      <c r="I912" s="31" t="str">
        <f t="shared" ca="1" si="28"/>
        <v>●</v>
      </c>
      <c r="J912" s="31">
        <f t="shared" si="29"/>
        <v>910</v>
      </c>
    </row>
    <row r="913" spans="2:10">
      <c r="B913" s="31">
        <v>3</v>
      </c>
      <c r="D913" s="31" t="b">
        <v>1</v>
      </c>
      <c r="E913" s="34" t="s">
        <v>1951</v>
      </c>
      <c r="F913" s="31" t="s">
        <v>1952</v>
      </c>
      <c r="G913" s="31" t="s">
        <v>1953</v>
      </c>
      <c r="H913" s="40">
        <v>45706</v>
      </c>
      <c r="I913" s="31" t="str">
        <f t="shared" ca="1" si="28"/>
        <v>●</v>
      </c>
      <c r="J913" s="31">
        <f t="shared" si="29"/>
        <v>911</v>
      </c>
    </row>
    <row r="914" spans="2:10">
      <c r="B914" s="31">
        <v>3</v>
      </c>
      <c r="D914" s="31" t="b">
        <v>1</v>
      </c>
      <c r="E914" s="34" t="s">
        <v>1954</v>
      </c>
      <c r="F914" s="31" t="s">
        <v>1955</v>
      </c>
      <c r="G914" s="31" t="s">
        <v>1956</v>
      </c>
      <c r="H914" s="40">
        <v>45706</v>
      </c>
      <c r="I914" s="31" t="str">
        <f t="shared" ref="I914:I977" ca="1" si="30">IF(H914-$G$1&lt;=0,"●","")</f>
        <v>●</v>
      </c>
      <c r="J914" s="31">
        <f t="shared" ref="J914:J977" si="31">ROW()-2</f>
        <v>912</v>
      </c>
    </row>
    <row r="915" spans="2:10">
      <c r="B915" s="31">
        <v>3</v>
      </c>
      <c r="D915" s="31" t="b">
        <v>1</v>
      </c>
      <c r="E915" s="34" t="s">
        <v>1957</v>
      </c>
      <c r="F915" s="31" t="s">
        <v>1958</v>
      </c>
      <c r="G915" s="31" t="s">
        <v>1959</v>
      </c>
      <c r="H915" s="40">
        <v>45711</v>
      </c>
      <c r="I915" s="31" t="str">
        <f t="shared" ca="1" si="30"/>
        <v>●</v>
      </c>
      <c r="J915" s="31">
        <f t="shared" si="31"/>
        <v>913</v>
      </c>
    </row>
    <row r="916" spans="2:10">
      <c r="B916" s="31">
        <v>3</v>
      </c>
      <c r="D916" s="31" t="b">
        <v>1</v>
      </c>
      <c r="E916" s="34" t="s">
        <v>1960</v>
      </c>
      <c r="F916" s="31" t="s">
        <v>1961</v>
      </c>
      <c r="G916" s="31" t="s">
        <v>1962</v>
      </c>
      <c r="H916" s="40">
        <v>45706</v>
      </c>
      <c r="I916" s="31" t="str">
        <f t="shared" ca="1" si="30"/>
        <v>●</v>
      </c>
      <c r="J916" s="31">
        <f t="shared" si="31"/>
        <v>914</v>
      </c>
    </row>
    <row r="917" spans="2:10">
      <c r="B917" s="31">
        <v>3</v>
      </c>
      <c r="D917" s="31" t="b">
        <v>1</v>
      </c>
      <c r="E917" s="34" t="s">
        <v>1963</v>
      </c>
      <c r="F917" s="31" t="s">
        <v>1964</v>
      </c>
      <c r="G917" s="31" t="s">
        <v>1965</v>
      </c>
      <c r="H917" s="40">
        <v>45706</v>
      </c>
      <c r="I917" s="31" t="str">
        <f t="shared" ca="1" si="30"/>
        <v>●</v>
      </c>
      <c r="J917" s="31">
        <f t="shared" si="31"/>
        <v>915</v>
      </c>
    </row>
    <row r="918" spans="2:10">
      <c r="B918" s="31">
        <v>3</v>
      </c>
      <c r="D918" s="31" t="b">
        <v>1</v>
      </c>
      <c r="E918" s="34" t="s">
        <v>1966</v>
      </c>
      <c r="F918" s="31" t="s">
        <v>1967</v>
      </c>
      <c r="G918" s="31" t="s">
        <v>1968</v>
      </c>
      <c r="H918" s="40">
        <v>45706</v>
      </c>
      <c r="I918" s="31" t="str">
        <f t="shared" ca="1" si="30"/>
        <v>●</v>
      </c>
      <c r="J918" s="31">
        <f t="shared" si="31"/>
        <v>916</v>
      </c>
    </row>
    <row r="919" spans="2:10">
      <c r="B919" s="31">
        <v>3</v>
      </c>
      <c r="D919" s="31" t="b">
        <v>1</v>
      </c>
      <c r="E919" s="34" t="s">
        <v>1969</v>
      </c>
      <c r="F919" s="31" t="s">
        <v>1970</v>
      </c>
      <c r="G919" s="31" t="s">
        <v>1971</v>
      </c>
      <c r="H919" s="40">
        <v>45706</v>
      </c>
      <c r="I919" s="31" t="str">
        <f t="shared" ca="1" si="30"/>
        <v>●</v>
      </c>
      <c r="J919" s="31">
        <f t="shared" si="31"/>
        <v>917</v>
      </c>
    </row>
    <row r="920" spans="2:10">
      <c r="B920" s="31">
        <v>3</v>
      </c>
      <c r="D920" s="31" t="b">
        <v>1</v>
      </c>
      <c r="E920" s="34" t="s">
        <v>1972</v>
      </c>
      <c r="F920" s="31" t="s">
        <v>1973</v>
      </c>
      <c r="G920" s="31" t="s">
        <v>1974</v>
      </c>
      <c r="H920" s="40">
        <v>45706</v>
      </c>
      <c r="I920" s="31" t="str">
        <f t="shared" ca="1" si="30"/>
        <v>●</v>
      </c>
      <c r="J920" s="31">
        <f t="shared" si="31"/>
        <v>918</v>
      </c>
    </row>
    <row r="921" spans="2:10">
      <c r="B921" s="31">
        <v>3</v>
      </c>
      <c r="D921" s="31" t="b">
        <v>1</v>
      </c>
      <c r="E921" s="34" t="s">
        <v>1975</v>
      </c>
      <c r="F921" s="31" t="s">
        <v>1976</v>
      </c>
      <c r="G921" s="31" t="s">
        <v>1977</v>
      </c>
      <c r="H921" s="40">
        <v>45706</v>
      </c>
      <c r="I921" s="31" t="str">
        <f t="shared" ca="1" si="30"/>
        <v>●</v>
      </c>
      <c r="J921" s="31">
        <f t="shared" si="31"/>
        <v>919</v>
      </c>
    </row>
    <row r="922" spans="2:10">
      <c r="B922" s="31">
        <v>3</v>
      </c>
      <c r="D922" s="31" t="b">
        <v>1</v>
      </c>
      <c r="E922" s="34" t="s">
        <v>1978</v>
      </c>
      <c r="F922" s="31" t="s">
        <v>1979</v>
      </c>
      <c r="G922" s="31" t="s">
        <v>1980</v>
      </c>
      <c r="H922" s="40">
        <v>45706</v>
      </c>
      <c r="I922" s="31" t="str">
        <f t="shared" ca="1" si="30"/>
        <v>●</v>
      </c>
      <c r="J922" s="31">
        <f t="shared" si="31"/>
        <v>920</v>
      </c>
    </row>
    <row r="923" spans="2:10">
      <c r="B923" s="31">
        <v>3</v>
      </c>
      <c r="D923" s="31" t="b">
        <v>1</v>
      </c>
      <c r="E923" s="34" t="s">
        <v>1981</v>
      </c>
      <c r="F923" s="31" t="s">
        <v>1982</v>
      </c>
      <c r="G923" s="31" t="s">
        <v>1983</v>
      </c>
      <c r="H923" s="40">
        <v>45706</v>
      </c>
      <c r="I923" s="31" t="str">
        <f t="shared" ca="1" si="30"/>
        <v>●</v>
      </c>
      <c r="J923" s="31">
        <f t="shared" si="31"/>
        <v>921</v>
      </c>
    </row>
    <row r="924" spans="2:10">
      <c r="B924" s="31">
        <v>3</v>
      </c>
      <c r="D924" s="31" t="b">
        <v>1</v>
      </c>
      <c r="E924" s="34" t="s">
        <v>1984</v>
      </c>
      <c r="F924" s="31" t="s">
        <v>1985</v>
      </c>
      <c r="G924" s="31" t="s">
        <v>1986</v>
      </c>
      <c r="H924" s="40">
        <v>45706</v>
      </c>
      <c r="I924" s="31" t="str">
        <f t="shared" ca="1" si="30"/>
        <v>●</v>
      </c>
      <c r="J924" s="31">
        <f t="shared" si="31"/>
        <v>922</v>
      </c>
    </row>
    <row r="925" spans="2:10">
      <c r="B925" s="31">
        <v>3</v>
      </c>
      <c r="D925" s="31" t="b">
        <v>1</v>
      </c>
      <c r="E925" s="34" t="s">
        <v>1987</v>
      </c>
      <c r="F925" s="31" t="s">
        <v>1988</v>
      </c>
      <c r="G925" s="31" t="s">
        <v>1989</v>
      </c>
      <c r="H925" s="40">
        <v>45706</v>
      </c>
      <c r="I925" s="31" t="str">
        <f t="shared" ca="1" si="30"/>
        <v>●</v>
      </c>
      <c r="J925" s="31">
        <f t="shared" si="31"/>
        <v>923</v>
      </c>
    </row>
    <row r="926" spans="2:10">
      <c r="B926" s="31">
        <v>3</v>
      </c>
      <c r="D926" s="31" t="b">
        <v>1</v>
      </c>
      <c r="E926" s="34" t="s">
        <v>1990</v>
      </c>
      <c r="F926" s="31" t="s">
        <v>1991</v>
      </c>
      <c r="G926" s="31" t="s">
        <v>1992</v>
      </c>
      <c r="H926" s="40">
        <v>45706</v>
      </c>
      <c r="I926" s="31" t="str">
        <f t="shared" ca="1" si="30"/>
        <v>●</v>
      </c>
      <c r="J926" s="31">
        <f t="shared" si="31"/>
        <v>924</v>
      </c>
    </row>
    <row r="927" spans="2:10">
      <c r="B927" s="31">
        <v>3</v>
      </c>
      <c r="D927" s="31" t="b">
        <v>1</v>
      </c>
      <c r="E927" s="34" t="s">
        <v>1993</v>
      </c>
      <c r="F927" s="31" t="s">
        <v>1994</v>
      </c>
      <c r="G927" s="31" t="s">
        <v>1995</v>
      </c>
      <c r="H927" s="40">
        <v>45706</v>
      </c>
      <c r="I927" s="31" t="str">
        <f t="shared" ca="1" si="30"/>
        <v>●</v>
      </c>
      <c r="J927" s="31">
        <f t="shared" si="31"/>
        <v>925</v>
      </c>
    </row>
    <row r="928" spans="2:10">
      <c r="B928" s="31">
        <v>3</v>
      </c>
      <c r="D928" s="31" t="b">
        <v>1</v>
      </c>
      <c r="E928" s="34" t="s">
        <v>1996</v>
      </c>
      <c r="F928" s="31" t="s">
        <v>1997</v>
      </c>
      <c r="G928" s="31" t="s">
        <v>1998</v>
      </c>
      <c r="H928" s="40">
        <v>45706</v>
      </c>
      <c r="I928" s="31" t="str">
        <f t="shared" ca="1" si="30"/>
        <v>●</v>
      </c>
      <c r="J928" s="31">
        <f t="shared" si="31"/>
        <v>926</v>
      </c>
    </row>
    <row r="929" spans="2:10">
      <c r="B929" s="31">
        <v>3</v>
      </c>
      <c r="D929" s="31" t="b">
        <v>1</v>
      </c>
      <c r="E929" s="34" t="s">
        <v>1999</v>
      </c>
      <c r="F929" s="31" t="s">
        <v>2000</v>
      </c>
      <c r="G929" s="31" t="s">
        <v>2001</v>
      </c>
      <c r="H929" s="40">
        <v>45706</v>
      </c>
      <c r="I929" s="31" t="str">
        <f t="shared" ca="1" si="30"/>
        <v>●</v>
      </c>
      <c r="J929" s="31">
        <f t="shared" si="31"/>
        <v>927</v>
      </c>
    </row>
    <row r="930" spans="2:10">
      <c r="B930" s="31">
        <v>3</v>
      </c>
      <c r="D930" s="31" t="b">
        <v>1</v>
      </c>
      <c r="E930" s="34" t="s">
        <v>2002</v>
      </c>
      <c r="F930" s="31" t="s">
        <v>2003</v>
      </c>
      <c r="G930" s="31" t="s">
        <v>2004</v>
      </c>
      <c r="H930" s="40">
        <v>45706</v>
      </c>
      <c r="I930" s="31" t="str">
        <f t="shared" ca="1" si="30"/>
        <v>●</v>
      </c>
      <c r="J930" s="31">
        <f t="shared" si="31"/>
        <v>928</v>
      </c>
    </row>
    <row r="931" spans="2:10">
      <c r="B931" s="31">
        <v>3</v>
      </c>
      <c r="D931" s="31" t="b">
        <v>1</v>
      </c>
      <c r="E931" s="34" t="s">
        <v>2005</v>
      </c>
      <c r="F931" s="31" t="s">
        <v>2006</v>
      </c>
      <c r="G931" s="31" t="s">
        <v>2007</v>
      </c>
      <c r="H931" s="40">
        <v>45711</v>
      </c>
      <c r="I931" s="31" t="str">
        <f t="shared" ca="1" si="30"/>
        <v>●</v>
      </c>
      <c r="J931" s="31">
        <f t="shared" si="31"/>
        <v>929</v>
      </c>
    </row>
    <row r="932" spans="2:10">
      <c r="B932" s="31">
        <v>3</v>
      </c>
      <c r="D932" s="31" t="b">
        <v>1</v>
      </c>
      <c r="E932" s="34" t="s">
        <v>2008</v>
      </c>
      <c r="F932" s="31" t="s">
        <v>2009</v>
      </c>
      <c r="G932" s="31" t="s">
        <v>2010</v>
      </c>
      <c r="H932" s="40">
        <v>45706</v>
      </c>
      <c r="I932" s="31" t="str">
        <f t="shared" ca="1" si="30"/>
        <v>●</v>
      </c>
      <c r="J932" s="31">
        <f t="shared" si="31"/>
        <v>930</v>
      </c>
    </row>
    <row r="933" spans="2:10">
      <c r="B933" s="31">
        <v>3</v>
      </c>
      <c r="D933" s="31" t="b">
        <v>1</v>
      </c>
      <c r="E933" s="34" t="s">
        <v>2011</v>
      </c>
      <c r="F933" s="31" t="s">
        <v>2012</v>
      </c>
      <c r="G933" s="31" t="s">
        <v>2013</v>
      </c>
      <c r="H933" s="40">
        <v>45706</v>
      </c>
      <c r="I933" s="31" t="str">
        <f t="shared" ca="1" si="30"/>
        <v>●</v>
      </c>
      <c r="J933" s="31">
        <f t="shared" si="31"/>
        <v>931</v>
      </c>
    </row>
    <row r="934" spans="2:10">
      <c r="B934" s="31">
        <v>3</v>
      </c>
      <c r="D934" s="31" t="b">
        <v>1</v>
      </c>
      <c r="E934" s="34" t="s">
        <v>2014</v>
      </c>
      <c r="F934" s="31" t="s">
        <v>2015</v>
      </c>
      <c r="G934" s="31" t="s">
        <v>2016</v>
      </c>
      <c r="H934" s="40">
        <v>45711</v>
      </c>
      <c r="I934" s="31" t="str">
        <f t="shared" ca="1" si="30"/>
        <v>●</v>
      </c>
      <c r="J934" s="31">
        <f t="shared" si="31"/>
        <v>932</v>
      </c>
    </row>
    <row r="935" spans="2:10" hidden="1">
      <c r="B935" s="31">
        <v>2</v>
      </c>
      <c r="C935" s="31" t="s">
        <v>116</v>
      </c>
      <c r="D935" s="31" t="b">
        <v>0</v>
      </c>
      <c r="E935" s="34" t="s">
        <v>2017</v>
      </c>
      <c r="F935" s="31" t="s">
        <v>2018</v>
      </c>
      <c r="H935" s="40">
        <v>45723</v>
      </c>
      <c r="I935" s="31" t="str">
        <f t="shared" ca="1" si="30"/>
        <v>●</v>
      </c>
      <c r="J935" s="31">
        <f t="shared" si="31"/>
        <v>933</v>
      </c>
    </row>
    <row r="936" spans="2:10" hidden="1">
      <c r="B936" s="31">
        <v>2</v>
      </c>
      <c r="C936" s="31" t="s">
        <v>116</v>
      </c>
      <c r="D936" s="31" t="b">
        <v>0</v>
      </c>
      <c r="E936" s="34" t="s">
        <v>2019</v>
      </c>
      <c r="F936" s="31" t="s">
        <v>2020</v>
      </c>
      <c r="H936" s="40">
        <v>45705</v>
      </c>
      <c r="I936" s="31" t="str">
        <f t="shared" ca="1" si="30"/>
        <v>●</v>
      </c>
      <c r="J936" s="31">
        <f t="shared" si="31"/>
        <v>934</v>
      </c>
    </row>
    <row r="937" spans="2:10" hidden="1">
      <c r="B937" s="31">
        <v>2</v>
      </c>
      <c r="C937" s="31" t="s">
        <v>116</v>
      </c>
      <c r="D937" s="31" t="b">
        <v>0</v>
      </c>
      <c r="E937" s="34" t="s">
        <v>2021</v>
      </c>
      <c r="F937" s="31" t="s">
        <v>2022</v>
      </c>
      <c r="H937" s="40">
        <v>45705</v>
      </c>
      <c r="I937" s="31" t="str">
        <f t="shared" ca="1" si="30"/>
        <v>●</v>
      </c>
      <c r="J937" s="31">
        <f t="shared" si="31"/>
        <v>935</v>
      </c>
    </row>
    <row r="938" spans="2:10">
      <c r="B938" s="31">
        <v>2</v>
      </c>
      <c r="D938" s="31" t="b">
        <v>0</v>
      </c>
      <c r="E938" s="34" t="s">
        <v>2023</v>
      </c>
      <c r="F938" s="31" t="s">
        <v>2024</v>
      </c>
      <c r="G938" s="31" t="s">
        <v>2025</v>
      </c>
      <c r="H938" s="40">
        <v>45705</v>
      </c>
      <c r="I938" s="31" t="str">
        <f t="shared" ca="1" si="30"/>
        <v>●</v>
      </c>
      <c r="J938" s="31">
        <f t="shared" si="31"/>
        <v>936</v>
      </c>
    </row>
    <row r="939" spans="2:10">
      <c r="B939" s="31">
        <v>2</v>
      </c>
      <c r="D939" s="31" t="b">
        <v>0</v>
      </c>
      <c r="E939" s="34" t="s">
        <v>2026</v>
      </c>
      <c r="F939" s="31" t="s">
        <v>2027</v>
      </c>
      <c r="G939" s="31" t="s">
        <v>2028</v>
      </c>
      <c r="H939" s="40">
        <v>45705</v>
      </c>
      <c r="I939" s="31" t="str">
        <f t="shared" ca="1" si="30"/>
        <v>●</v>
      </c>
      <c r="J939" s="31">
        <f t="shared" si="31"/>
        <v>937</v>
      </c>
    </row>
    <row r="940" spans="2:10" hidden="1">
      <c r="B940" s="35">
        <v>2</v>
      </c>
      <c r="C940" s="31" t="s">
        <v>116</v>
      </c>
      <c r="D940" s="35" t="b">
        <v>1</v>
      </c>
      <c r="E940" s="34" t="s">
        <v>2029</v>
      </c>
      <c r="F940" s="31" t="s">
        <v>2030</v>
      </c>
      <c r="H940" s="40">
        <v>45705</v>
      </c>
      <c r="I940" s="31" t="str">
        <f t="shared" ca="1" si="30"/>
        <v>●</v>
      </c>
      <c r="J940" s="31">
        <f t="shared" si="31"/>
        <v>938</v>
      </c>
    </row>
    <row r="941" spans="2:10" hidden="1">
      <c r="B941" s="35">
        <v>2</v>
      </c>
      <c r="C941" s="31" t="s">
        <v>116</v>
      </c>
      <c r="D941" s="35" t="b">
        <v>1</v>
      </c>
      <c r="E941" s="34" t="s">
        <v>2031</v>
      </c>
      <c r="F941" s="31" t="s">
        <v>2032</v>
      </c>
      <c r="H941" s="40">
        <v>45705</v>
      </c>
      <c r="I941" s="31" t="str">
        <f t="shared" ca="1" si="30"/>
        <v>●</v>
      </c>
      <c r="J941" s="31">
        <f t="shared" si="31"/>
        <v>939</v>
      </c>
    </row>
    <row r="942" spans="2:10" hidden="1">
      <c r="B942" s="35">
        <v>2</v>
      </c>
      <c r="C942" s="31" t="s">
        <v>116</v>
      </c>
      <c r="D942" s="35" t="b">
        <v>0</v>
      </c>
      <c r="E942" s="34" t="s">
        <v>2033</v>
      </c>
      <c r="F942" s="31" t="s">
        <v>2034</v>
      </c>
      <c r="H942" s="40">
        <v>45705</v>
      </c>
      <c r="I942" s="31" t="str">
        <f t="shared" ca="1" si="30"/>
        <v>●</v>
      </c>
      <c r="J942" s="31">
        <f t="shared" si="31"/>
        <v>940</v>
      </c>
    </row>
    <row r="943" spans="2:10" hidden="1">
      <c r="B943" s="35">
        <v>2</v>
      </c>
      <c r="C943" s="31" t="s">
        <v>116</v>
      </c>
      <c r="D943" s="35" t="b">
        <v>0</v>
      </c>
      <c r="E943" s="34" t="s">
        <v>2035</v>
      </c>
      <c r="F943" s="31" t="s">
        <v>2036</v>
      </c>
      <c r="H943" s="40">
        <v>45705</v>
      </c>
      <c r="I943" s="31" t="str">
        <f t="shared" ca="1" si="30"/>
        <v>●</v>
      </c>
      <c r="J943" s="31">
        <f t="shared" si="31"/>
        <v>941</v>
      </c>
    </row>
    <row r="944" spans="2:10" hidden="1">
      <c r="B944" s="35">
        <v>2</v>
      </c>
      <c r="C944" s="31" t="s">
        <v>116</v>
      </c>
      <c r="D944" s="35" t="b">
        <v>0</v>
      </c>
      <c r="E944" s="34" t="s">
        <v>2037</v>
      </c>
      <c r="F944" s="31" t="s">
        <v>2038</v>
      </c>
      <c r="H944" s="40">
        <v>45705</v>
      </c>
      <c r="I944" s="31" t="str">
        <f t="shared" ca="1" si="30"/>
        <v>●</v>
      </c>
      <c r="J944" s="31">
        <f t="shared" si="31"/>
        <v>942</v>
      </c>
    </row>
    <row r="945" spans="2:10">
      <c r="B945" s="31">
        <v>2</v>
      </c>
      <c r="D945" s="31" t="b">
        <v>1</v>
      </c>
      <c r="E945" s="34" t="s">
        <v>2039</v>
      </c>
      <c r="F945" s="31" t="s">
        <v>2040</v>
      </c>
      <c r="H945" s="40">
        <v>45705</v>
      </c>
      <c r="I945" s="31" t="str">
        <f t="shared" ca="1" si="30"/>
        <v>●</v>
      </c>
      <c r="J945" s="31">
        <f t="shared" si="31"/>
        <v>943</v>
      </c>
    </row>
    <row r="946" spans="2:10">
      <c r="B946" s="31">
        <v>2</v>
      </c>
      <c r="D946" s="31" t="b">
        <v>1</v>
      </c>
      <c r="E946" s="34" t="s">
        <v>2041</v>
      </c>
      <c r="F946" s="31" t="s">
        <v>2042</v>
      </c>
      <c r="H946" s="40">
        <v>45705</v>
      </c>
      <c r="I946" s="31" t="str">
        <f t="shared" ca="1" si="30"/>
        <v>●</v>
      </c>
      <c r="J946" s="31">
        <f t="shared" si="31"/>
        <v>944</v>
      </c>
    </row>
    <row r="947" spans="2:10" hidden="1">
      <c r="B947" s="31">
        <v>2</v>
      </c>
      <c r="C947" s="31" t="s">
        <v>116</v>
      </c>
      <c r="D947" s="35" t="b">
        <v>0</v>
      </c>
      <c r="E947" s="34" t="s">
        <v>2043</v>
      </c>
      <c r="F947" s="31" t="s">
        <v>2044</v>
      </c>
      <c r="H947" s="40">
        <v>45705</v>
      </c>
      <c r="I947" s="31" t="str">
        <f t="shared" ca="1" si="30"/>
        <v>●</v>
      </c>
      <c r="J947" s="31">
        <f t="shared" si="31"/>
        <v>945</v>
      </c>
    </row>
    <row r="948" spans="2:10">
      <c r="B948" s="31">
        <v>2</v>
      </c>
      <c r="D948" s="31" t="b">
        <v>1</v>
      </c>
      <c r="E948" s="34" t="s">
        <v>2045</v>
      </c>
      <c r="F948" s="31" t="s">
        <v>2046</v>
      </c>
      <c r="G948" s="31" t="s">
        <v>2047</v>
      </c>
      <c r="H948" s="40">
        <v>45705</v>
      </c>
      <c r="I948" s="31" t="str">
        <f t="shared" ca="1" si="30"/>
        <v>●</v>
      </c>
      <c r="J948" s="31">
        <f t="shared" si="31"/>
        <v>946</v>
      </c>
    </row>
    <row r="949" spans="2:10">
      <c r="B949" s="31">
        <v>2</v>
      </c>
      <c r="D949" s="31" t="b">
        <v>1</v>
      </c>
      <c r="E949" s="34" t="s">
        <v>2048</v>
      </c>
      <c r="F949" s="31" t="s">
        <v>2049</v>
      </c>
      <c r="G949" s="31" t="s">
        <v>2050</v>
      </c>
      <c r="H949" s="40">
        <v>45707</v>
      </c>
      <c r="I949" s="31" t="str">
        <f t="shared" ca="1" si="30"/>
        <v>●</v>
      </c>
      <c r="J949" s="31">
        <f t="shared" si="31"/>
        <v>947</v>
      </c>
    </row>
    <row r="950" spans="2:10">
      <c r="B950" s="31">
        <v>2</v>
      </c>
      <c r="D950" s="31" t="b">
        <v>1</v>
      </c>
      <c r="E950" s="34" t="s">
        <v>2051</v>
      </c>
      <c r="F950" s="31" t="s">
        <v>2052</v>
      </c>
      <c r="G950" s="31" t="s">
        <v>2053</v>
      </c>
      <c r="H950" s="40">
        <v>45707</v>
      </c>
      <c r="I950" s="31" t="str">
        <f t="shared" ca="1" si="30"/>
        <v>●</v>
      </c>
      <c r="J950" s="31">
        <f t="shared" si="31"/>
        <v>948</v>
      </c>
    </row>
    <row r="951" spans="2:10">
      <c r="B951" s="31">
        <v>2</v>
      </c>
      <c r="D951" s="31" t="b">
        <v>1</v>
      </c>
      <c r="E951" s="34" t="s">
        <v>2054</v>
      </c>
      <c r="F951" s="31" t="s">
        <v>2055</v>
      </c>
      <c r="G951" s="31" t="s">
        <v>2056</v>
      </c>
      <c r="H951" s="40">
        <v>45707</v>
      </c>
      <c r="I951" s="31" t="str">
        <f t="shared" ca="1" si="30"/>
        <v>●</v>
      </c>
      <c r="J951" s="31">
        <f t="shared" si="31"/>
        <v>949</v>
      </c>
    </row>
    <row r="952" spans="2:10">
      <c r="B952" s="31">
        <v>2</v>
      </c>
      <c r="D952" s="31" t="b">
        <v>1</v>
      </c>
      <c r="E952" s="34" t="s">
        <v>2057</v>
      </c>
      <c r="F952" s="31" t="s">
        <v>2058</v>
      </c>
      <c r="G952" s="31" t="s">
        <v>2059</v>
      </c>
      <c r="H952" s="40">
        <v>45707</v>
      </c>
      <c r="I952" s="31" t="str">
        <f t="shared" ca="1" si="30"/>
        <v>●</v>
      </c>
      <c r="J952" s="31">
        <f t="shared" si="31"/>
        <v>950</v>
      </c>
    </row>
    <row r="953" spans="2:10">
      <c r="B953" s="31">
        <v>1</v>
      </c>
      <c r="D953" s="31" t="b">
        <v>0</v>
      </c>
      <c r="E953" s="34" t="s">
        <v>2060</v>
      </c>
      <c r="F953" s="31" t="s">
        <v>2061</v>
      </c>
      <c r="H953" s="40">
        <v>45721</v>
      </c>
      <c r="I953" s="31" t="str">
        <f t="shared" ca="1" si="30"/>
        <v>●</v>
      </c>
      <c r="J953" s="31">
        <f t="shared" si="31"/>
        <v>951</v>
      </c>
    </row>
    <row r="954" spans="2:10">
      <c r="B954" s="31">
        <v>1</v>
      </c>
      <c r="D954" s="31" t="b">
        <v>0</v>
      </c>
      <c r="E954" s="34" t="s">
        <v>2062</v>
      </c>
      <c r="F954" s="31" t="s">
        <v>2063</v>
      </c>
      <c r="G954" s="31" t="s">
        <v>2064</v>
      </c>
      <c r="H954" s="40">
        <v>45705</v>
      </c>
      <c r="I954" s="31" t="str">
        <f t="shared" ca="1" si="30"/>
        <v>●</v>
      </c>
      <c r="J954" s="31">
        <f t="shared" si="31"/>
        <v>952</v>
      </c>
    </row>
    <row r="955" spans="2:10">
      <c r="B955" s="31">
        <v>1</v>
      </c>
      <c r="D955" s="31" t="b">
        <v>0</v>
      </c>
      <c r="E955" s="34" t="s">
        <v>2065</v>
      </c>
      <c r="F955" s="31" t="s">
        <v>2066</v>
      </c>
      <c r="G955" s="31" t="s">
        <v>2067</v>
      </c>
      <c r="H955" s="40">
        <v>45705</v>
      </c>
      <c r="I955" s="31" t="str">
        <f t="shared" ca="1" si="30"/>
        <v>●</v>
      </c>
      <c r="J955" s="31">
        <f t="shared" si="31"/>
        <v>953</v>
      </c>
    </row>
    <row r="956" spans="2:10" hidden="1">
      <c r="B956" s="35">
        <v>1</v>
      </c>
      <c r="C956" s="31" t="s">
        <v>116</v>
      </c>
      <c r="D956" s="35" t="b">
        <v>0</v>
      </c>
      <c r="E956" s="34" t="s">
        <v>2068</v>
      </c>
      <c r="F956" s="31" t="s">
        <v>2069</v>
      </c>
      <c r="H956" s="40">
        <v>45705</v>
      </c>
      <c r="I956" s="31" t="str">
        <f t="shared" ca="1" si="30"/>
        <v>●</v>
      </c>
      <c r="J956" s="31">
        <f t="shared" si="31"/>
        <v>954</v>
      </c>
    </row>
    <row r="957" spans="2:10" hidden="1">
      <c r="B957" s="35">
        <v>1</v>
      </c>
      <c r="C957" s="31" t="s">
        <v>116</v>
      </c>
      <c r="D957" s="35" t="b">
        <v>1</v>
      </c>
      <c r="E957" s="34" t="s">
        <v>2070</v>
      </c>
      <c r="F957" s="31" t="s">
        <v>2071</v>
      </c>
      <c r="H957" s="40">
        <v>45705</v>
      </c>
      <c r="I957" s="31" t="str">
        <f t="shared" ca="1" si="30"/>
        <v>●</v>
      </c>
      <c r="J957" s="31">
        <f t="shared" si="31"/>
        <v>955</v>
      </c>
    </row>
    <row r="958" spans="2:10" hidden="1">
      <c r="B958" s="35">
        <v>1</v>
      </c>
      <c r="C958" s="31" t="s">
        <v>116</v>
      </c>
      <c r="D958" s="35" t="b">
        <v>1</v>
      </c>
      <c r="E958" s="34" t="s">
        <v>2072</v>
      </c>
      <c r="F958" s="31" t="s">
        <v>2073</v>
      </c>
      <c r="H958" s="40">
        <v>45705</v>
      </c>
      <c r="I958" s="31" t="str">
        <f t="shared" ca="1" si="30"/>
        <v>●</v>
      </c>
      <c r="J958" s="31">
        <f t="shared" si="31"/>
        <v>956</v>
      </c>
    </row>
    <row r="959" spans="2:10" hidden="1">
      <c r="B959" s="35">
        <v>1</v>
      </c>
      <c r="C959" s="31" t="s">
        <v>116</v>
      </c>
      <c r="D959" s="35" t="b">
        <v>1</v>
      </c>
      <c r="E959" s="34" t="s">
        <v>2074</v>
      </c>
      <c r="F959" s="31" t="s">
        <v>2075</v>
      </c>
      <c r="H959" s="40">
        <v>45705</v>
      </c>
      <c r="I959" s="31" t="str">
        <f t="shared" ca="1" si="30"/>
        <v>●</v>
      </c>
      <c r="J959" s="31">
        <f t="shared" si="31"/>
        <v>957</v>
      </c>
    </row>
    <row r="960" spans="2:10" hidden="1">
      <c r="B960" s="35">
        <v>1</v>
      </c>
      <c r="C960" s="31" t="s">
        <v>116</v>
      </c>
      <c r="D960" s="35" t="b">
        <v>1</v>
      </c>
      <c r="E960" s="34" t="s">
        <v>2076</v>
      </c>
      <c r="F960" s="31" t="s">
        <v>2077</v>
      </c>
      <c r="H960" s="40">
        <v>45705</v>
      </c>
      <c r="I960" s="31" t="str">
        <f t="shared" ca="1" si="30"/>
        <v>●</v>
      </c>
      <c r="J960" s="31">
        <f t="shared" si="31"/>
        <v>958</v>
      </c>
    </row>
    <row r="961" spans="2:10">
      <c r="B961" s="31">
        <v>1</v>
      </c>
      <c r="D961" s="31" t="b">
        <v>1</v>
      </c>
      <c r="E961" s="34" t="s">
        <v>2078</v>
      </c>
      <c r="F961" s="31" t="s">
        <v>2079</v>
      </c>
      <c r="G961" s="31" t="s">
        <v>2080</v>
      </c>
      <c r="H961" s="40">
        <v>45705</v>
      </c>
      <c r="I961" s="31" t="str">
        <f t="shared" ca="1" si="30"/>
        <v>●</v>
      </c>
      <c r="J961" s="31">
        <f t="shared" si="31"/>
        <v>959</v>
      </c>
    </row>
    <row r="962" spans="2:10">
      <c r="B962" s="31">
        <v>1</v>
      </c>
      <c r="D962" s="31" t="b">
        <v>1</v>
      </c>
      <c r="E962" s="34" t="s">
        <v>2081</v>
      </c>
      <c r="F962" s="31" t="s">
        <v>2082</v>
      </c>
      <c r="G962" s="31" t="s">
        <v>2083</v>
      </c>
      <c r="H962" s="40">
        <v>45705</v>
      </c>
      <c r="I962" s="31" t="str">
        <f t="shared" ca="1" si="30"/>
        <v>●</v>
      </c>
      <c r="J962" s="31">
        <f t="shared" si="31"/>
        <v>960</v>
      </c>
    </row>
    <row r="963" spans="2:10">
      <c r="B963" s="31">
        <v>1</v>
      </c>
      <c r="D963" s="31" t="b">
        <v>1</v>
      </c>
      <c r="E963" s="34" t="s">
        <v>2084</v>
      </c>
      <c r="F963" s="31" t="s">
        <v>2085</v>
      </c>
      <c r="G963" s="31" t="s">
        <v>2086</v>
      </c>
      <c r="H963" s="40">
        <v>45705</v>
      </c>
      <c r="I963" s="31" t="str">
        <f t="shared" ca="1" si="30"/>
        <v>●</v>
      </c>
      <c r="J963" s="31">
        <f t="shared" si="31"/>
        <v>961</v>
      </c>
    </row>
    <row r="964" spans="2:10">
      <c r="B964" s="31">
        <v>1</v>
      </c>
      <c r="D964" s="31" t="b">
        <v>1</v>
      </c>
      <c r="E964" s="34" t="s">
        <v>2087</v>
      </c>
      <c r="F964" s="31" t="s">
        <v>2088</v>
      </c>
      <c r="G964" s="31" t="s">
        <v>2089</v>
      </c>
      <c r="H964" s="40">
        <v>45705</v>
      </c>
      <c r="I964" s="31" t="str">
        <f t="shared" ca="1" si="30"/>
        <v>●</v>
      </c>
      <c r="J964" s="31">
        <f t="shared" si="31"/>
        <v>962</v>
      </c>
    </row>
    <row r="965" spans="2:10">
      <c r="B965" s="31">
        <v>1</v>
      </c>
      <c r="D965" s="31" t="b">
        <v>1</v>
      </c>
      <c r="E965" s="34" t="s">
        <v>2090</v>
      </c>
      <c r="F965" s="31" t="s">
        <v>2091</v>
      </c>
      <c r="G965" s="31" t="s">
        <v>2092</v>
      </c>
      <c r="H965" s="40">
        <v>45703</v>
      </c>
      <c r="I965" s="31" t="str">
        <f t="shared" ca="1" si="30"/>
        <v>●</v>
      </c>
      <c r="J965" s="31">
        <f t="shared" si="31"/>
        <v>963</v>
      </c>
    </row>
    <row r="966" spans="2:10">
      <c r="B966" s="31">
        <v>1</v>
      </c>
      <c r="D966" s="31" t="b">
        <v>1</v>
      </c>
      <c r="E966" s="34" t="s">
        <v>2093</v>
      </c>
      <c r="F966" s="31" t="s">
        <v>2094</v>
      </c>
      <c r="G966" s="31" t="s">
        <v>2095</v>
      </c>
      <c r="H966" s="40">
        <v>45703</v>
      </c>
      <c r="I966" s="31" t="str">
        <f t="shared" ca="1" si="30"/>
        <v>●</v>
      </c>
      <c r="J966" s="31">
        <f t="shared" si="31"/>
        <v>964</v>
      </c>
    </row>
    <row r="967" spans="2:10">
      <c r="B967" s="31">
        <v>1</v>
      </c>
      <c r="D967" s="31" t="b">
        <v>1</v>
      </c>
      <c r="E967" s="34" t="s">
        <v>2096</v>
      </c>
      <c r="F967" s="31" t="s">
        <v>2097</v>
      </c>
      <c r="G967" s="31" t="s">
        <v>2098</v>
      </c>
      <c r="H967" s="40">
        <v>45703</v>
      </c>
      <c r="I967" s="31" t="str">
        <f t="shared" ca="1" si="30"/>
        <v>●</v>
      </c>
      <c r="J967" s="31">
        <f t="shared" si="31"/>
        <v>965</v>
      </c>
    </row>
    <row r="968" spans="2:10">
      <c r="B968" s="31">
        <v>1</v>
      </c>
      <c r="D968" s="31" t="b">
        <v>1</v>
      </c>
      <c r="E968" s="34" t="s">
        <v>2099</v>
      </c>
      <c r="F968" s="31" t="s">
        <v>2100</v>
      </c>
      <c r="G968" s="31" t="s">
        <v>2101</v>
      </c>
      <c r="H968" s="40">
        <v>45703</v>
      </c>
      <c r="I968" s="31" t="str">
        <f t="shared" ca="1" si="30"/>
        <v>●</v>
      </c>
      <c r="J968" s="31">
        <f t="shared" si="31"/>
        <v>966</v>
      </c>
    </row>
    <row r="969" spans="2:10">
      <c r="B969" s="31">
        <v>1</v>
      </c>
      <c r="D969" s="31" t="b">
        <v>1</v>
      </c>
      <c r="E969" s="34" t="s">
        <v>2102</v>
      </c>
      <c r="F969" s="31" t="s">
        <v>2103</v>
      </c>
      <c r="G969" s="31" t="s">
        <v>2104</v>
      </c>
      <c r="H969" s="40">
        <v>45705</v>
      </c>
      <c r="I969" s="31" t="str">
        <f t="shared" ca="1" si="30"/>
        <v>●</v>
      </c>
      <c r="J969" s="31">
        <f t="shared" si="31"/>
        <v>967</v>
      </c>
    </row>
    <row r="970" spans="2:10">
      <c r="B970" s="31">
        <v>1</v>
      </c>
      <c r="D970" s="31" t="b">
        <v>1</v>
      </c>
      <c r="E970" s="34" t="s">
        <v>2105</v>
      </c>
      <c r="F970" s="31" t="s">
        <v>2106</v>
      </c>
      <c r="G970" s="31" t="s">
        <v>2107</v>
      </c>
      <c r="H970" s="40">
        <v>45705</v>
      </c>
      <c r="I970" s="31" t="str">
        <f t="shared" ca="1" si="30"/>
        <v>●</v>
      </c>
      <c r="J970" s="31">
        <f t="shared" si="31"/>
        <v>968</v>
      </c>
    </row>
    <row r="971" spans="2:10">
      <c r="B971" s="31">
        <v>1</v>
      </c>
      <c r="D971" s="31" t="b">
        <v>1</v>
      </c>
      <c r="E971" s="34" t="s">
        <v>2108</v>
      </c>
      <c r="F971" s="31" t="s">
        <v>2109</v>
      </c>
      <c r="G971" s="31" t="s">
        <v>2110</v>
      </c>
      <c r="H971" s="40">
        <v>45705</v>
      </c>
      <c r="I971" s="31" t="str">
        <f t="shared" ca="1" si="30"/>
        <v>●</v>
      </c>
      <c r="J971" s="31">
        <f t="shared" si="31"/>
        <v>969</v>
      </c>
    </row>
    <row r="972" spans="2:10">
      <c r="B972" s="31">
        <v>1</v>
      </c>
      <c r="D972" s="31" t="b">
        <v>1</v>
      </c>
      <c r="E972" s="34" t="s">
        <v>2111</v>
      </c>
      <c r="F972" s="31" t="s">
        <v>2112</v>
      </c>
      <c r="G972" s="31" t="s">
        <v>2113</v>
      </c>
      <c r="H972" s="40">
        <v>45703</v>
      </c>
      <c r="I972" s="31" t="str">
        <f t="shared" ca="1" si="30"/>
        <v>●</v>
      </c>
      <c r="J972" s="31">
        <f t="shared" si="31"/>
        <v>970</v>
      </c>
    </row>
    <row r="973" spans="2:10">
      <c r="B973" s="31">
        <v>1</v>
      </c>
      <c r="D973" s="31" t="b">
        <v>1</v>
      </c>
      <c r="E973" s="34" t="s">
        <v>2114</v>
      </c>
      <c r="F973" s="31" t="s">
        <v>2115</v>
      </c>
      <c r="G973" s="31" t="s">
        <v>2116</v>
      </c>
      <c r="H973" s="40">
        <v>45705</v>
      </c>
      <c r="I973" s="31" t="str">
        <f t="shared" ca="1" si="30"/>
        <v>●</v>
      </c>
      <c r="J973" s="31">
        <f t="shared" si="31"/>
        <v>971</v>
      </c>
    </row>
    <row r="974" spans="2:10">
      <c r="B974" s="31">
        <v>1</v>
      </c>
      <c r="D974" s="31" t="b">
        <v>1</v>
      </c>
      <c r="E974" s="34" t="s">
        <v>2117</v>
      </c>
      <c r="F974" s="31" t="s">
        <v>2118</v>
      </c>
      <c r="G974" s="31" t="s">
        <v>2119</v>
      </c>
      <c r="H974" s="40">
        <v>45705</v>
      </c>
      <c r="I974" s="31" t="str">
        <f t="shared" ca="1" si="30"/>
        <v>●</v>
      </c>
      <c r="J974" s="31">
        <f t="shared" si="31"/>
        <v>972</v>
      </c>
    </row>
    <row r="975" spans="2:10">
      <c r="B975" s="31">
        <v>1</v>
      </c>
      <c r="D975" s="31" t="b">
        <v>1</v>
      </c>
      <c r="E975" s="34" t="s">
        <v>2120</v>
      </c>
      <c r="F975" s="31" t="s">
        <v>2121</v>
      </c>
      <c r="G975" s="31" t="s">
        <v>2122</v>
      </c>
      <c r="H975" s="40">
        <v>45705</v>
      </c>
      <c r="I975" s="31" t="str">
        <f t="shared" ca="1" si="30"/>
        <v>●</v>
      </c>
      <c r="J975" s="31">
        <f t="shared" si="31"/>
        <v>973</v>
      </c>
    </row>
    <row r="976" spans="2:10">
      <c r="B976" s="31">
        <v>1</v>
      </c>
      <c r="D976" s="31" t="b">
        <v>1</v>
      </c>
      <c r="E976" s="34" t="s">
        <v>2123</v>
      </c>
      <c r="F976" s="31" t="s">
        <v>2124</v>
      </c>
      <c r="G976" s="31" t="s">
        <v>2125</v>
      </c>
      <c r="H976" s="40">
        <v>45703</v>
      </c>
      <c r="I976" s="31" t="str">
        <f t="shared" ca="1" si="30"/>
        <v>●</v>
      </c>
      <c r="J976" s="31">
        <f t="shared" si="31"/>
        <v>974</v>
      </c>
    </row>
    <row r="977" spans="2:10">
      <c r="B977" s="31">
        <v>1</v>
      </c>
      <c r="D977" s="31" t="b">
        <v>1</v>
      </c>
      <c r="E977" s="34" t="s">
        <v>2126</v>
      </c>
      <c r="F977" s="31" t="s">
        <v>2127</v>
      </c>
      <c r="G977" s="31" t="s">
        <v>2128</v>
      </c>
      <c r="H977" s="40">
        <v>45703</v>
      </c>
      <c r="I977" s="31" t="str">
        <f t="shared" ca="1" si="30"/>
        <v>●</v>
      </c>
      <c r="J977" s="31">
        <f t="shared" si="31"/>
        <v>975</v>
      </c>
    </row>
    <row r="978" spans="2:10">
      <c r="B978" s="31">
        <v>1</v>
      </c>
      <c r="D978" s="31" t="b">
        <v>1</v>
      </c>
      <c r="E978" s="34" t="s">
        <v>2129</v>
      </c>
      <c r="F978" s="31" t="s">
        <v>2130</v>
      </c>
      <c r="G978" s="31" t="s">
        <v>2131</v>
      </c>
      <c r="H978" s="40">
        <v>45703</v>
      </c>
      <c r="I978" s="31" t="str">
        <f t="shared" ref="I978:I987" ca="1" si="32">IF(H978-$G$1&lt;=0,"●","")</f>
        <v>●</v>
      </c>
      <c r="J978" s="31">
        <f t="shared" ref="J978:J987" si="33">ROW()-2</f>
        <v>976</v>
      </c>
    </row>
    <row r="979" spans="2:10">
      <c r="B979" s="31">
        <v>1</v>
      </c>
      <c r="D979" s="31" t="b">
        <v>1</v>
      </c>
      <c r="E979" s="34" t="s">
        <v>2132</v>
      </c>
      <c r="F979" s="31" t="s">
        <v>2133</v>
      </c>
      <c r="G979" s="31" t="s">
        <v>2134</v>
      </c>
      <c r="H979" s="40">
        <v>45703</v>
      </c>
      <c r="I979" s="31" t="str">
        <f t="shared" ca="1" si="32"/>
        <v>●</v>
      </c>
      <c r="J979" s="31">
        <f t="shared" si="33"/>
        <v>977</v>
      </c>
    </row>
    <row r="980" spans="2:10">
      <c r="B980" s="31">
        <v>1</v>
      </c>
      <c r="D980" s="31" t="b">
        <v>1</v>
      </c>
      <c r="E980" s="34" t="s">
        <v>2135</v>
      </c>
      <c r="F980" s="31" t="s">
        <v>2136</v>
      </c>
      <c r="G980" s="31" t="s">
        <v>2137</v>
      </c>
      <c r="H980" s="40">
        <v>45703</v>
      </c>
      <c r="I980" s="31" t="str">
        <f t="shared" ca="1" si="32"/>
        <v>●</v>
      </c>
      <c r="J980" s="31">
        <f t="shared" si="33"/>
        <v>978</v>
      </c>
    </row>
    <row r="981" spans="2:10">
      <c r="B981" s="31">
        <v>1</v>
      </c>
      <c r="D981" s="31" t="b">
        <v>1</v>
      </c>
      <c r="E981" s="34" t="s">
        <v>2138</v>
      </c>
      <c r="F981" s="31" t="s">
        <v>2139</v>
      </c>
      <c r="G981" s="31" t="s">
        <v>2140</v>
      </c>
      <c r="H981" s="40">
        <v>45705</v>
      </c>
      <c r="I981" s="31" t="str">
        <f t="shared" ca="1" si="32"/>
        <v>●</v>
      </c>
      <c r="J981" s="31">
        <f t="shared" si="33"/>
        <v>979</v>
      </c>
    </row>
    <row r="982" spans="2:10">
      <c r="B982" s="31">
        <v>1</v>
      </c>
      <c r="D982" s="31" t="b">
        <v>1</v>
      </c>
      <c r="E982" s="34" t="s">
        <v>2141</v>
      </c>
      <c r="F982" s="31" t="s">
        <v>2142</v>
      </c>
      <c r="G982" s="31" t="s">
        <v>2143</v>
      </c>
      <c r="H982" s="40">
        <v>45703</v>
      </c>
      <c r="I982" s="31" t="str">
        <f t="shared" ca="1" si="32"/>
        <v>●</v>
      </c>
      <c r="J982" s="31">
        <f t="shared" si="33"/>
        <v>980</v>
      </c>
    </row>
    <row r="983" spans="2:10">
      <c r="B983" s="31">
        <v>1</v>
      </c>
      <c r="D983" s="31" t="b">
        <v>1</v>
      </c>
      <c r="E983" s="34" t="s">
        <v>2144</v>
      </c>
      <c r="F983" s="31" t="s">
        <v>2145</v>
      </c>
      <c r="G983" s="31" t="s">
        <v>2146</v>
      </c>
      <c r="H983" s="40">
        <v>45705</v>
      </c>
      <c r="I983" s="31" t="str">
        <f t="shared" ca="1" si="32"/>
        <v>●</v>
      </c>
      <c r="J983" s="31">
        <f t="shared" si="33"/>
        <v>981</v>
      </c>
    </row>
    <row r="984" spans="2:10" hidden="1">
      <c r="B984" s="35">
        <v>0</v>
      </c>
      <c r="C984" s="31" t="s">
        <v>116</v>
      </c>
      <c r="D984" s="35" t="b">
        <v>1</v>
      </c>
      <c r="E984" s="34" t="s">
        <v>2147</v>
      </c>
      <c r="F984" s="31" t="s">
        <v>2148</v>
      </c>
      <c r="H984" s="40">
        <v>45704</v>
      </c>
      <c r="I984" s="31" t="str">
        <f t="shared" ca="1" si="32"/>
        <v>●</v>
      </c>
      <c r="J984" s="31">
        <f t="shared" si="33"/>
        <v>982</v>
      </c>
    </row>
    <row r="985" spans="2:10" hidden="1">
      <c r="B985" s="31">
        <v>0</v>
      </c>
      <c r="C985" s="31" t="s">
        <v>116</v>
      </c>
      <c r="D985" s="35" t="b">
        <v>1</v>
      </c>
      <c r="E985" s="34" t="s">
        <v>2149</v>
      </c>
      <c r="F985" s="31" t="s">
        <v>2150</v>
      </c>
      <c r="H985" s="40">
        <v>45704</v>
      </c>
      <c r="I985" s="31" t="str">
        <f t="shared" ca="1" si="32"/>
        <v>●</v>
      </c>
      <c r="J985" s="31">
        <f t="shared" si="33"/>
        <v>983</v>
      </c>
    </row>
    <row r="986" spans="2:10">
      <c r="B986" s="31">
        <v>0</v>
      </c>
      <c r="D986" s="31" t="b">
        <v>0</v>
      </c>
      <c r="E986" s="34" t="s">
        <v>2151</v>
      </c>
      <c r="F986" s="31" t="s">
        <v>2152</v>
      </c>
      <c r="G986" s="31" t="s">
        <v>2153</v>
      </c>
      <c r="H986" s="40">
        <v>45704</v>
      </c>
      <c r="I986" s="31" t="str">
        <f t="shared" ca="1" si="32"/>
        <v>●</v>
      </c>
      <c r="J986" s="31">
        <f t="shared" si="33"/>
        <v>984</v>
      </c>
    </row>
    <row r="987" spans="2:10">
      <c r="B987" s="31">
        <v>0</v>
      </c>
      <c r="D987" s="31" t="b">
        <v>0</v>
      </c>
      <c r="E987" s="34" t="s">
        <v>2154</v>
      </c>
      <c r="F987" s="31" t="s">
        <v>2155</v>
      </c>
      <c r="G987" s="31" t="s">
        <v>2156</v>
      </c>
      <c r="H987" s="40">
        <v>45704</v>
      </c>
      <c r="I987" s="31" t="str">
        <f t="shared" ca="1" si="32"/>
        <v>●</v>
      </c>
      <c r="J987" s="31">
        <f t="shared" si="33"/>
        <v>985</v>
      </c>
    </row>
  </sheetData>
  <phoneticPr fontId="1"/>
  <conditionalFormatting sqref="E3:E987">
    <cfRule type="expression" dxfId="59" priority="2">
      <formula>OR($E$1=1,AND(MOD(ROW(),2)=1,OR($C3="]",$C3="ま")))</formula>
    </cfRule>
    <cfRule type="expression" dxfId="58" priority="3" stopIfTrue="1">
      <formula>AND(MOD(ROW(),2)=0,OR($C3="]",$C3="ま"))</formula>
    </cfRule>
  </conditionalFormatting>
  <conditionalFormatting sqref="B3:D987 F3:G751 G752 F753">
    <cfRule type="expression" dxfId="57" priority="4" stopIfTrue="1">
      <formula>MOD(ROW(),2)=1</formula>
    </cfRule>
    <cfRule type="expression" dxfId="56" priority="5" stopIfTrue="1">
      <formula>MOD(ROW(),2)=0</formula>
    </cfRule>
  </conditionalFormatting>
  <conditionalFormatting sqref="B3:B987">
    <cfRule type="colorScale" priority="1">
      <colorScale>
        <cfvo type="min"/>
        <cfvo type="max"/>
        <color rgb="FF972B42"/>
        <color rgb="FF232B89"/>
      </colorScale>
    </cfRule>
  </conditionalFormatting>
  <dataValidations count="2">
    <dataValidation type="list" allowBlank="1" showInputMessage="1" showErrorMessage="1" sqref="D3:D987" xr:uid="{A668A858-E004-D34A-853E-2FFBE68E4B04}">
      <formula1>"True,False"</formula1>
    </dataValidation>
    <dataValidation type="list" allowBlank="1" showInputMessage="1" showErrorMessage="1" sqref="C3:C987" xr:uid="{584A6F3F-D15F-9948-8505-3765DB4549FD}">
      <formula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ボタン1_Clic">
                <anchor moveWithCells="1" sizeWithCells="1">
                  <from>
                    <xdr:col>1</xdr:col>
                    <xdr:colOff>25400</xdr:colOff>
                    <xdr:row>0</xdr:row>
                    <xdr:rowOff>50800</xdr:rowOff>
                  </from>
                  <to>
                    <xdr:col>1</xdr:col>
                    <xdr:colOff>698500</xdr:colOff>
                    <xdr:row>0</xdr:row>
                    <xdr:rowOff>419100</xdr:rowOff>
                  </to>
                </anchor>
              </controlPr>
            </control>
          </mc:Choice>
        </mc:AlternateContent>
        <mc:AlternateContent xmlns:mc="http://schemas.openxmlformats.org/markup-compatibility/2006">
          <mc:Choice Requires="x14">
            <control shapeId="3074" r:id="rId4" name="Option Button 2">
              <controlPr defaultSize="0" autoFill="0" autoLine="0" autoPict="0">
                <anchor moveWithCells="1">
                  <from>
                    <xdr:col>2</xdr:col>
                    <xdr:colOff>12700</xdr:colOff>
                    <xdr:row>0</xdr:row>
                    <xdr:rowOff>266700</xdr:rowOff>
                  </from>
                  <to>
                    <xdr:col>3</xdr:col>
                    <xdr:colOff>12700</xdr:colOff>
                    <xdr:row>0</xdr:row>
                    <xdr:rowOff>419100</xdr:rowOff>
                  </to>
                </anchor>
              </controlPr>
            </control>
          </mc:Choice>
        </mc:AlternateContent>
        <mc:AlternateContent xmlns:mc="http://schemas.openxmlformats.org/markup-compatibility/2006">
          <mc:Choice Requires="x14">
            <control shapeId="3075" r:id="rId5" name="Option Button 3">
              <controlPr defaultSize="0" autoFill="0" autoLine="0" autoPict="0">
                <anchor moveWithCells="1">
                  <from>
                    <xdr:col>2</xdr:col>
                    <xdr:colOff>12700</xdr:colOff>
                    <xdr:row>0</xdr:row>
                    <xdr:rowOff>76200</xdr:rowOff>
                  </from>
                  <to>
                    <xdr:col>3</xdr:col>
                    <xdr:colOff>25400</xdr:colOff>
                    <xdr:row>0</xdr:row>
                    <xdr:rowOff>241300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9CB3-F16B-C448-AD6C-07C132D9598C}">
  <sheetPr codeName="Sheet3">
    <tabColor theme="4"/>
  </sheetPr>
  <dimension ref="B1:J333"/>
  <sheetViews>
    <sheetView tabSelected="1" zoomScale="200" zoomScaleNormal="200" workbookViewId="0">
      <pane ySplit="2" topLeftCell="A320" activePane="bottomLeft" state="frozenSplit"/>
      <selection activeCell="D328" sqref="D328"/>
      <selection pane="bottomLeft" activeCell="F334" sqref="F334"/>
    </sheetView>
  </sheetViews>
  <sheetFormatPr baseColWidth="10" defaultColWidth="10.6640625" defaultRowHeight="13"/>
  <cols>
    <col min="1" max="1" width="3.83203125" style="1" customWidth="1"/>
    <col min="2" max="2" width="10.5" style="1" customWidth="1"/>
    <col min="3" max="3" width="3.83203125" style="1" customWidth="1"/>
    <col min="4" max="4" width="6.6640625" style="1" customWidth="1"/>
    <col min="5" max="5" width="33.6640625" style="1" customWidth="1"/>
    <col min="6" max="6" width="36.83203125" style="1" bestFit="1" customWidth="1"/>
    <col min="7" max="7" width="10" style="42" customWidth="1"/>
    <col min="8" max="8" width="9.5" style="1" bestFit="1" customWidth="1"/>
    <col min="9" max="9" width="10.5" style="1" customWidth="1"/>
    <col min="10" max="10" width="5" style="1" customWidth="1"/>
    <col min="11" max="16384" width="10.6640625" style="1"/>
  </cols>
  <sheetData>
    <row r="1" spans="2:10" ht="40" customHeight="1">
      <c r="C1" s="2"/>
      <c r="D1" s="3" t="s">
        <v>0</v>
      </c>
      <c r="E1" s="7">
        <v>1</v>
      </c>
      <c r="F1" s="7" t="str">
        <f ca="1">"FALSE " &amp; COUNTIF(テーブル33[True or False],FALSE)&amp;"/TEST " &amp;-1+ COUNTIFS(テーブル33[deadline],"●")-(COUNTIFS(テーブル33[deadline],"●", テーブル33[列1],"]")+COUNTIFS(テーブル33[deadline],"●", テーブル33[列1],"ま"))</f>
        <v>FALSE 11/TEST 10</v>
      </c>
      <c r="G1" s="44">
        <f ca="1">TODAY()</f>
        <v>45745</v>
      </c>
    </row>
    <row r="2" spans="2:10">
      <c r="B2" s="4" t="s">
        <v>1</v>
      </c>
      <c r="C2" s="4" t="s">
        <v>2</v>
      </c>
      <c r="D2" s="4" t="s">
        <v>2157</v>
      </c>
      <c r="E2" s="4" t="s">
        <v>2158</v>
      </c>
      <c r="F2" s="4" t="s">
        <v>5</v>
      </c>
      <c r="G2" s="45" t="s">
        <v>6</v>
      </c>
      <c r="H2" s="4" t="s">
        <v>7</v>
      </c>
      <c r="I2" s="4" t="s">
        <v>8</v>
      </c>
      <c r="J2" s="15" t="s">
        <v>9</v>
      </c>
    </row>
    <row r="3" spans="2:10">
      <c r="B3" s="5">
        <v>6</v>
      </c>
      <c r="C3" s="12"/>
      <c r="D3" s="5" t="b">
        <v>1</v>
      </c>
      <c r="E3" s="6" t="s">
        <v>2159</v>
      </c>
      <c r="F3" s="5" t="s">
        <v>2160</v>
      </c>
      <c r="G3" s="46"/>
      <c r="H3" s="11">
        <v>45820</v>
      </c>
      <c r="I3" s="1" t="str">
        <f t="shared" ref="I3:I66" ca="1" si="0">IF(H3-$G$1&lt;=0,"●","")</f>
        <v/>
      </c>
      <c r="J3" s="1">
        <f t="shared" ref="J3:J66" si="1">ROW()-2</f>
        <v>1</v>
      </c>
    </row>
    <row r="4" spans="2:10">
      <c r="B4" s="5">
        <v>6</v>
      </c>
      <c r="C4" s="12"/>
      <c r="D4" s="5" t="b">
        <v>1</v>
      </c>
      <c r="E4" s="6" t="s">
        <v>2161</v>
      </c>
      <c r="F4" s="12" t="s">
        <v>2162</v>
      </c>
      <c r="G4" s="46"/>
      <c r="H4" s="11">
        <v>45820</v>
      </c>
      <c r="I4" s="1" t="str">
        <f t="shared" ca="1" si="0"/>
        <v/>
      </c>
      <c r="J4" s="1">
        <f t="shared" si="1"/>
        <v>2</v>
      </c>
    </row>
    <row r="5" spans="2:10">
      <c r="B5" s="5">
        <v>6</v>
      </c>
      <c r="C5" s="12"/>
      <c r="D5" s="5" t="b">
        <v>1</v>
      </c>
      <c r="E5" s="6" t="s">
        <v>2163</v>
      </c>
      <c r="F5" s="5" t="s">
        <v>2164</v>
      </c>
      <c r="G5" s="46"/>
      <c r="H5" s="11">
        <v>45820</v>
      </c>
      <c r="I5" s="1" t="str">
        <f t="shared" ca="1" si="0"/>
        <v/>
      </c>
      <c r="J5" s="1">
        <f t="shared" si="1"/>
        <v>3</v>
      </c>
    </row>
    <row r="6" spans="2:10">
      <c r="B6" s="5">
        <v>6</v>
      </c>
      <c r="C6" s="12"/>
      <c r="D6" s="5" t="b">
        <v>1</v>
      </c>
      <c r="E6" s="6" t="s">
        <v>2165</v>
      </c>
      <c r="F6" s="5" t="s">
        <v>2166</v>
      </c>
      <c r="G6" s="46"/>
      <c r="H6" s="11">
        <v>45817</v>
      </c>
      <c r="I6" s="1" t="str">
        <f t="shared" ca="1" si="0"/>
        <v/>
      </c>
      <c r="J6" s="1">
        <f t="shared" si="1"/>
        <v>4</v>
      </c>
    </row>
    <row r="7" spans="2:10">
      <c r="B7" s="5">
        <v>6</v>
      </c>
      <c r="C7" s="12"/>
      <c r="D7" s="5" t="b">
        <v>1</v>
      </c>
      <c r="E7" s="6" t="s">
        <v>2167</v>
      </c>
      <c r="F7" s="5" t="s">
        <v>2168</v>
      </c>
      <c r="G7" s="46"/>
      <c r="H7" s="11">
        <v>45817</v>
      </c>
      <c r="I7" s="1" t="str">
        <f t="shared" ca="1" si="0"/>
        <v/>
      </c>
      <c r="J7" s="1">
        <f t="shared" si="1"/>
        <v>5</v>
      </c>
    </row>
    <row r="8" spans="2:10">
      <c r="B8" s="1">
        <v>6</v>
      </c>
      <c r="C8" s="13"/>
      <c r="D8" s="5" t="b">
        <v>1</v>
      </c>
      <c r="E8" s="6" t="s">
        <v>2169</v>
      </c>
      <c r="F8" s="1" t="s">
        <v>2170</v>
      </c>
      <c r="H8" s="11">
        <v>45817</v>
      </c>
      <c r="I8" s="1" t="str">
        <f t="shared" ca="1" si="0"/>
        <v/>
      </c>
      <c r="J8" s="1">
        <f t="shared" si="1"/>
        <v>6</v>
      </c>
    </row>
    <row r="9" spans="2:10">
      <c r="B9" s="1">
        <v>6</v>
      </c>
      <c r="C9" s="13"/>
      <c r="D9" s="5" t="b">
        <v>1</v>
      </c>
      <c r="E9" s="6" t="s">
        <v>2171</v>
      </c>
      <c r="F9" s="1" t="s">
        <v>2172</v>
      </c>
      <c r="H9" s="11">
        <v>45817</v>
      </c>
      <c r="I9" s="1" t="str">
        <f t="shared" ca="1" si="0"/>
        <v/>
      </c>
      <c r="J9" s="1">
        <f t="shared" si="1"/>
        <v>7</v>
      </c>
    </row>
    <row r="10" spans="2:10">
      <c r="B10" s="1">
        <v>6</v>
      </c>
      <c r="C10" s="13"/>
      <c r="D10" s="5" t="b">
        <v>1</v>
      </c>
      <c r="E10" s="6" t="s">
        <v>2173</v>
      </c>
      <c r="F10" s="1" t="s">
        <v>2174</v>
      </c>
      <c r="H10" s="11">
        <v>45817</v>
      </c>
      <c r="I10" s="1" t="str">
        <f t="shared" ca="1" si="0"/>
        <v/>
      </c>
      <c r="J10" s="1">
        <f t="shared" si="1"/>
        <v>8</v>
      </c>
    </row>
    <row r="11" spans="2:10">
      <c r="B11" s="1">
        <v>6</v>
      </c>
      <c r="C11" s="13"/>
      <c r="D11" s="5" t="b">
        <v>1</v>
      </c>
      <c r="E11" s="6" t="s">
        <v>2175</v>
      </c>
      <c r="F11" s="1" t="s">
        <v>2176</v>
      </c>
      <c r="H11" s="11">
        <v>45817</v>
      </c>
      <c r="I11" s="1" t="str">
        <f t="shared" ca="1" si="0"/>
        <v/>
      </c>
      <c r="J11" s="1">
        <f t="shared" si="1"/>
        <v>9</v>
      </c>
    </row>
    <row r="12" spans="2:10">
      <c r="B12" s="1">
        <v>6</v>
      </c>
      <c r="C12" s="13"/>
      <c r="D12" s="5" t="b">
        <v>1</v>
      </c>
      <c r="E12" s="6" t="s">
        <v>2177</v>
      </c>
      <c r="F12" s="1" t="s">
        <v>2178</v>
      </c>
      <c r="H12" s="11">
        <v>45817</v>
      </c>
      <c r="I12" s="1" t="str">
        <f t="shared" ca="1" si="0"/>
        <v/>
      </c>
      <c r="J12" s="1">
        <f t="shared" si="1"/>
        <v>10</v>
      </c>
    </row>
    <row r="13" spans="2:10">
      <c r="B13" s="1">
        <v>6</v>
      </c>
      <c r="C13" s="13"/>
      <c r="D13" s="5" t="b">
        <v>1</v>
      </c>
      <c r="E13" s="6" t="s">
        <v>2179</v>
      </c>
      <c r="F13" s="1" t="s">
        <v>2180</v>
      </c>
      <c r="H13" s="11">
        <v>45817</v>
      </c>
      <c r="I13" s="1" t="str">
        <f t="shared" ca="1" si="0"/>
        <v/>
      </c>
      <c r="J13" s="1">
        <f t="shared" si="1"/>
        <v>11</v>
      </c>
    </row>
    <row r="14" spans="2:10">
      <c r="B14" s="1">
        <v>6</v>
      </c>
      <c r="C14" s="13"/>
      <c r="D14" s="5" t="b">
        <v>1</v>
      </c>
      <c r="E14" s="6" t="s">
        <v>2181</v>
      </c>
      <c r="F14" s="1" t="s">
        <v>2182</v>
      </c>
      <c r="H14" s="11">
        <v>45817</v>
      </c>
      <c r="I14" s="1" t="str">
        <f t="shared" ca="1" si="0"/>
        <v/>
      </c>
      <c r="J14" s="1">
        <f t="shared" si="1"/>
        <v>12</v>
      </c>
    </row>
    <row r="15" spans="2:10">
      <c r="B15" s="1">
        <v>6</v>
      </c>
      <c r="C15" s="13"/>
      <c r="D15" s="5" t="b">
        <v>1</v>
      </c>
      <c r="E15" s="6" t="s">
        <v>2183</v>
      </c>
      <c r="F15" s="1" t="s">
        <v>2184</v>
      </c>
      <c r="H15" s="11">
        <v>45817</v>
      </c>
      <c r="I15" s="1" t="str">
        <f t="shared" ca="1" si="0"/>
        <v/>
      </c>
      <c r="J15" s="1">
        <f t="shared" si="1"/>
        <v>13</v>
      </c>
    </row>
    <row r="16" spans="2:10">
      <c r="B16" s="1">
        <v>6</v>
      </c>
      <c r="C16" s="13"/>
      <c r="D16" s="5" t="b">
        <v>1</v>
      </c>
      <c r="E16" s="6" t="s">
        <v>2185</v>
      </c>
      <c r="F16" s="1" t="s">
        <v>2186</v>
      </c>
      <c r="H16" s="11">
        <v>45817</v>
      </c>
      <c r="I16" s="1" t="str">
        <f t="shared" ca="1" si="0"/>
        <v/>
      </c>
      <c r="J16" s="1">
        <f t="shared" si="1"/>
        <v>14</v>
      </c>
    </row>
    <row r="17" spans="2:10">
      <c r="B17" s="1">
        <v>6</v>
      </c>
      <c r="C17" s="13"/>
      <c r="D17" s="5" t="b">
        <v>1</v>
      </c>
      <c r="E17" s="6" t="s">
        <v>2187</v>
      </c>
      <c r="F17" s="1" t="s">
        <v>2188</v>
      </c>
      <c r="H17" s="11">
        <v>45817</v>
      </c>
      <c r="I17" s="1" t="str">
        <f t="shared" ca="1" si="0"/>
        <v/>
      </c>
      <c r="J17" s="1">
        <f t="shared" si="1"/>
        <v>15</v>
      </c>
    </row>
    <row r="18" spans="2:10">
      <c r="B18" s="1">
        <v>6</v>
      </c>
      <c r="C18" s="13"/>
      <c r="D18" s="5" t="b">
        <v>1</v>
      </c>
      <c r="E18" s="6" t="s">
        <v>2189</v>
      </c>
      <c r="F18" s="1" t="s">
        <v>2190</v>
      </c>
      <c r="H18" s="11">
        <v>45817</v>
      </c>
      <c r="I18" s="1" t="str">
        <f t="shared" ca="1" si="0"/>
        <v/>
      </c>
      <c r="J18" s="1">
        <f t="shared" si="1"/>
        <v>16</v>
      </c>
    </row>
    <row r="19" spans="2:10">
      <c r="B19" s="1">
        <v>6</v>
      </c>
      <c r="C19" s="13"/>
      <c r="D19" s="5" t="b">
        <v>1</v>
      </c>
      <c r="E19" s="6" t="s">
        <v>2191</v>
      </c>
      <c r="F19" s="1" t="s">
        <v>2192</v>
      </c>
      <c r="H19" s="11">
        <v>45817</v>
      </c>
      <c r="I19" s="1" t="str">
        <f t="shared" ca="1" si="0"/>
        <v/>
      </c>
      <c r="J19" s="1">
        <f t="shared" si="1"/>
        <v>17</v>
      </c>
    </row>
    <row r="20" spans="2:10">
      <c r="B20" s="1">
        <v>6</v>
      </c>
      <c r="C20" s="13"/>
      <c r="D20" s="5" t="b">
        <v>1</v>
      </c>
      <c r="E20" s="6" t="s">
        <v>2193</v>
      </c>
      <c r="F20" s="1" t="s">
        <v>2194</v>
      </c>
      <c r="H20" s="11">
        <v>45817</v>
      </c>
      <c r="I20" s="1" t="str">
        <f t="shared" ca="1" si="0"/>
        <v/>
      </c>
      <c r="J20" s="1">
        <f t="shared" si="1"/>
        <v>18</v>
      </c>
    </row>
    <row r="21" spans="2:10">
      <c r="B21" s="1">
        <v>6</v>
      </c>
      <c r="C21" s="13"/>
      <c r="D21" s="5" t="b">
        <v>1</v>
      </c>
      <c r="E21" s="6" t="s">
        <v>2195</v>
      </c>
      <c r="F21" s="1" t="s">
        <v>2196</v>
      </c>
      <c r="H21" s="11">
        <v>45817</v>
      </c>
      <c r="I21" s="1" t="str">
        <f t="shared" ca="1" si="0"/>
        <v/>
      </c>
      <c r="J21" s="1">
        <f t="shared" si="1"/>
        <v>19</v>
      </c>
    </row>
    <row r="22" spans="2:10">
      <c r="B22" s="1">
        <v>6</v>
      </c>
      <c r="C22" s="13"/>
      <c r="D22" s="5" t="b">
        <v>1</v>
      </c>
      <c r="E22" s="6" t="s">
        <v>2197</v>
      </c>
      <c r="F22" s="1" t="s">
        <v>2198</v>
      </c>
      <c r="H22" s="11">
        <v>45817</v>
      </c>
      <c r="I22" s="1" t="str">
        <f t="shared" ca="1" si="0"/>
        <v/>
      </c>
      <c r="J22" s="1">
        <f t="shared" si="1"/>
        <v>20</v>
      </c>
    </row>
    <row r="23" spans="2:10">
      <c r="B23" s="1">
        <v>6</v>
      </c>
      <c r="C23" s="13"/>
      <c r="D23" s="5" t="b">
        <v>1</v>
      </c>
      <c r="E23" s="6" t="s">
        <v>2199</v>
      </c>
      <c r="F23" s="1" t="s">
        <v>2200</v>
      </c>
      <c r="H23" s="11">
        <v>45817</v>
      </c>
      <c r="I23" s="1" t="str">
        <f t="shared" ca="1" si="0"/>
        <v/>
      </c>
      <c r="J23" s="1">
        <f t="shared" si="1"/>
        <v>21</v>
      </c>
    </row>
    <row r="24" spans="2:10">
      <c r="B24" s="1">
        <v>6</v>
      </c>
      <c r="C24" s="13"/>
      <c r="D24" s="5" t="b">
        <v>1</v>
      </c>
      <c r="E24" s="6" t="s">
        <v>2201</v>
      </c>
      <c r="F24" s="1" t="s">
        <v>2202</v>
      </c>
      <c r="H24" s="11">
        <v>45817</v>
      </c>
      <c r="I24" s="1" t="str">
        <f t="shared" ca="1" si="0"/>
        <v/>
      </c>
      <c r="J24" s="1">
        <f t="shared" si="1"/>
        <v>22</v>
      </c>
    </row>
    <row r="25" spans="2:10">
      <c r="B25" s="1">
        <v>6</v>
      </c>
      <c r="C25" s="13"/>
      <c r="D25" s="5" t="b">
        <v>1</v>
      </c>
      <c r="E25" s="6" t="s">
        <v>2203</v>
      </c>
      <c r="F25" s="1" t="s">
        <v>2204</v>
      </c>
      <c r="H25" s="11">
        <v>45817</v>
      </c>
      <c r="I25" s="1" t="str">
        <f t="shared" ca="1" si="0"/>
        <v/>
      </c>
      <c r="J25" s="1">
        <f t="shared" si="1"/>
        <v>23</v>
      </c>
    </row>
    <row r="26" spans="2:10">
      <c r="B26" s="1">
        <v>6</v>
      </c>
      <c r="C26" s="13"/>
      <c r="D26" s="5" t="b">
        <v>1</v>
      </c>
      <c r="E26" s="6" t="s">
        <v>2205</v>
      </c>
      <c r="F26" s="1" t="s">
        <v>2206</v>
      </c>
      <c r="H26" s="11">
        <v>45817</v>
      </c>
      <c r="I26" s="1" t="str">
        <f t="shared" ca="1" si="0"/>
        <v/>
      </c>
      <c r="J26" s="1">
        <f t="shared" si="1"/>
        <v>24</v>
      </c>
    </row>
    <row r="27" spans="2:10">
      <c r="B27" s="1">
        <v>6</v>
      </c>
      <c r="C27" s="13"/>
      <c r="D27" s="5" t="b">
        <v>1</v>
      </c>
      <c r="E27" s="6" t="s">
        <v>2207</v>
      </c>
      <c r="F27" s="1" t="s">
        <v>2208</v>
      </c>
      <c r="H27" s="11">
        <v>45817</v>
      </c>
      <c r="I27" s="1" t="str">
        <f t="shared" ca="1" si="0"/>
        <v/>
      </c>
      <c r="J27" s="1">
        <f t="shared" si="1"/>
        <v>25</v>
      </c>
    </row>
    <row r="28" spans="2:10">
      <c r="B28" s="1">
        <v>6</v>
      </c>
      <c r="C28" s="13"/>
      <c r="D28" s="5" t="b">
        <v>1</v>
      </c>
      <c r="E28" s="6" t="s">
        <v>2209</v>
      </c>
      <c r="F28" s="1" t="s">
        <v>2210</v>
      </c>
      <c r="H28" s="11">
        <v>45817</v>
      </c>
      <c r="I28" s="1" t="str">
        <f t="shared" ca="1" si="0"/>
        <v/>
      </c>
      <c r="J28" s="1">
        <f t="shared" si="1"/>
        <v>26</v>
      </c>
    </row>
    <row r="29" spans="2:10">
      <c r="B29" s="1">
        <v>6</v>
      </c>
      <c r="C29" s="13"/>
      <c r="D29" s="5" t="b">
        <v>1</v>
      </c>
      <c r="E29" s="6" t="s">
        <v>2211</v>
      </c>
      <c r="F29" s="1" t="s">
        <v>2212</v>
      </c>
      <c r="H29" s="11">
        <v>45817</v>
      </c>
      <c r="I29" s="1" t="str">
        <f t="shared" ca="1" si="0"/>
        <v/>
      </c>
      <c r="J29" s="1">
        <f t="shared" si="1"/>
        <v>27</v>
      </c>
    </row>
    <row r="30" spans="2:10">
      <c r="B30" s="1">
        <v>6</v>
      </c>
      <c r="C30" s="13"/>
      <c r="D30" s="5" t="b">
        <v>1</v>
      </c>
      <c r="E30" s="6" t="s">
        <v>2213</v>
      </c>
      <c r="F30" s="1" t="s">
        <v>2214</v>
      </c>
      <c r="H30" s="11">
        <v>45817</v>
      </c>
      <c r="I30" s="1" t="str">
        <f t="shared" ca="1" si="0"/>
        <v/>
      </c>
      <c r="J30" s="1">
        <f t="shared" si="1"/>
        <v>28</v>
      </c>
    </row>
    <row r="31" spans="2:10">
      <c r="B31" s="1">
        <v>6</v>
      </c>
      <c r="C31" s="13"/>
      <c r="D31" s="5" t="b">
        <v>1</v>
      </c>
      <c r="E31" s="6" t="s">
        <v>2215</v>
      </c>
      <c r="F31" s="13" t="s">
        <v>2216</v>
      </c>
      <c r="H31" s="11">
        <v>45817</v>
      </c>
      <c r="I31" s="1" t="str">
        <f t="shared" ca="1" si="0"/>
        <v/>
      </c>
      <c r="J31" s="1">
        <f t="shared" si="1"/>
        <v>29</v>
      </c>
    </row>
    <row r="32" spans="2:10">
      <c r="B32" s="1">
        <v>6</v>
      </c>
      <c r="C32" s="13"/>
      <c r="D32" s="5" t="b">
        <v>1</v>
      </c>
      <c r="E32" s="6" t="s">
        <v>2217</v>
      </c>
      <c r="F32" s="1" t="s">
        <v>2218</v>
      </c>
      <c r="H32" s="11">
        <v>45817</v>
      </c>
      <c r="I32" s="1" t="str">
        <f t="shared" ca="1" si="0"/>
        <v/>
      </c>
      <c r="J32" s="1">
        <f t="shared" si="1"/>
        <v>30</v>
      </c>
    </row>
    <row r="33" spans="2:10">
      <c r="B33" s="1">
        <v>6</v>
      </c>
      <c r="C33" s="13"/>
      <c r="D33" s="5" t="b">
        <v>1</v>
      </c>
      <c r="E33" s="6" t="s">
        <v>2219</v>
      </c>
      <c r="F33" s="1" t="s">
        <v>2220</v>
      </c>
      <c r="H33" s="11">
        <v>45817</v>
      </c>
      <c r="I33" s="1" t="str">
        <f t="shared" ca="1" si="0"/>
        <v/>
      </c>
      <c r="J33" s="1">
        <f t="shared" si="1"/>
        <v>31</v>
      </c>
    </row>
    <row r="34" spans="2:10">
      <c r="B34" s="1">
        <v>6</v>
      </c>
      <c r="C34" s="13"/>
      <c r="D34" s="5" t="b">
        <v>1</v>
      </c>
      <c r="E34" s="6" t="s">
        <v>2221</v>
      </c>
      <c r="F34" s="1" t="s">
        <v>2222</v>
      </c>
      <c r="H34" s="11">
        <v>45817</v>
      </c>
      <c r="I34" s="1" t="str">
        <f t="shared" ca="1" si="0"/>
        <v/>
      </c>
      <c r="J34" s="1">
        <f t="shared" si="1"/>
        <v>32</v>
      </c>
    </row>
    <row r="35" spans="2:10">
      <c r="B35" s="1">
        <v>6</v>
      </c>
      <c r="C35" s="13"/>
      <c r="D35" s="5" t="b">
        <v>1</v>
      </c>
      <c r="E35" s="6" t="s">
        <v>2223</v>
      </c>
      <c r="F35" s="1" t="s">
        <v>2224</v>
      </c>
      <c r="H35" s="11">
        <v>45817</v>
      </c>
      <c r="I35" s="1" t="str">
        <f t="shared" ca="1" si="0"/>
        <v/>
      </c>
      <c r="J35" s="1">
        <f t="shared" si="1"/>
        <v>33</v>
      </c>
    </row>
    <row r="36" spans="2:10">
      <c r="B36" s="1">
        <v>6</v>
      </c>
      <c r="C36" s="13"/>
      <c r="D36" s="5" t="b">
        <v>1</v>
      </c>
      <c r="E36" s="6" t="s">
        <v>2225</v>
      </c>
      <c r="F36" s="1" t="s">
        <v>2226</v>
      </c>
      <c r="H36" s="11">
        <v>45817</v>
      </c>
      <c r="I36" s="1" t="str">
        <f t="shared" ca="1" si="0"/>
        <v/>
      </c>
      <c r="J36" s="1">
        <f t="shared" si="1"/>
        <v>34</v>
      </c>
    </row>
    <row r="37" spans="2:10">
      <c r="B37" s="1">
        <v>6</v>
      </c>
      <c r="C37" s="13"/>
      <c r="D37" s="5" t="b">
        <v>1</v>
      </c>
      <c r="E37" s="6" t="s">
        <v>2227</v>
      </c>
      <c r="F37" s="1" t="s">
        <v>2228</v>
      </c>
      <c r="H37" s="11">
        <v>45817</v>
      </c>
      <c r="I37" s="1" t="str">
        <f t="shared" ca="1" si="0"/>
        <v/>
      </c>
      <c r="J37" s="1">
        <f t="shared" si="1"/>
        <v>35</v>
      </c>
    </row>
    <row r="38" spans="2:10">
      <c r="B38" s="1">
        <v>6</v>
      </c>
      <c r="C38" s="13"/>
      <c r="D38" s="5" t="b">
        <v>1</v>
      </c>
      <c r="E38" s="6" t="s">
        <v>2229</v>
      </c>
      <c r="F38" s="1" t="s">
        <v>2230</v>
      </c>
      <c r="H38" s="11">
        <v>45817</v>
      </c>
      <c r="I38" s="1" t="str">
        <f t="shared" ca="1" si="0"/>
        <v/>
      </c>
      <c r="J38" s="1">
        <f t="shared" si="1"/>
        <v>36</v>
      </c>
    </row>
    <row r="39" spans="2:10">
      <c r="B39" s="1">
        <v>6</v>
      </c>
      <c r="C39" s="13"/>
      <c r="D39" s="5" t="b">
        <v>1</v>
      </c>
      <c r="E39" s="6" t="s">
        <v>2231</v>
      </c>
      <c r="F39" s="1" t="s">
        <v>2232</v>
      </c>
      <c r="H39" s="11">
        <v>45817</v>
      </c>
      <c r="I39" s="1" t="str">
        <f t="shared" ca="1" si="0"/>
        <v/>
      </c>
      <c r="J39" s="1">
        <f t="shared" si="1"/>
        <v>37</v>
      </c>
    </row>
    <row r="40" spans="2:10">
      <c r="B40" s="1">
        <v>6</v>
      </c>
      <c r="C40" s="13"/>
      <c r="D40" s="5" t="b">
        <v>1</v>
      </c>
      <c r="E40" s="6" t="s">
        <v>2233</v>
      </c>
      <c r="F40" s="1" t="s">
        <v>2234</v>
      </c>
      <c r="H40" s="11">
        <v>45817</v>
      </c>
      <c r="I40" s="1" t="str">
        <f t="shared" ca="1" si="0"/>
        <v/>
      </c>
      <c r="J40" s="1">
        <f t="shared" si="1"/>
        <v>38</v>
      </c>
    </row>
    <row r="41" spans="2:10">
      <c r="B41" s="1">
        <v>6</v>
      </c>
      <c r="C41" s="13"/>
      <c r="D41" s="5" t="b">
        <v>1</v>
      </c>
      <c r="E41" s="6" t="s">
        <v>2235</v>
      </c>
      <c r="F41" s="1" t="s">
        <v>2236</v>
      </c>
      <c r="H41" s="11">
        <v>45817</v>
      </c>
      <c r="I41" s="1" t="str">
        <f t="shared" ca="1" si="0"/>
        <v/>
      </c>
      <c r="J41" s="1">
        <f t="shared" si="1"/>
        <v>39</v>
      </c>
    </row>
    <row r="42" spans="2:10">
      <c r="B42" s="1">
        <v>6</v>
      </c>
      <c r="C42" s="13"/>
      <c r="D42" s="5" t="b">
        <v>1</v>
      </c>
      <c r="E42" s="6" t="s">
        <v>2237</v>
      </c>
      <c r="F42" s="1" t="s">
        <v>2238</v>
      </c>
      <c r="H42" s="11">
        <v>45817</v>
      </c>
      <c r="I42" s="1" t="str">
        <f t="shared" ca="1" si="0"/>
        <v/>
      </c>
      <c r="J42" s="1">
        <f t="shared" si="1"/>
        <v>40</v>
      </c>
    </row>
    <row r="43" spans="2:10">
      <c r="B43" s="1">
        <v>6</v>
      </c>
      <c r="C43" s="13"/>
      <c r="D43" s="5" t="b">
        <v>1</v>
      </c>
      <c r="E43" s="6" t="s">
        <v>2239</v>
      </c>
      <c r="F43" s="1" t="s">
        <v>2240</v>
      </c>
      <c r="H43" s="11">
        <v>45817</v>
      </c>
      <c r="I43" s="1" t="str">
        <f t="shared" ca="1" si="0"/>
        <v/>
      </c>
      <c r="J43" s="1">
        <f t="shared" si="1"/>
        <v>41</v>
      </c>
    </row>
    <row r="44" spans="2:10">
      <c r="B44" s="1">
        <v>6</v>
      </c>
      <c r="C44" s="13"/>
      <c r="D44" s="5" t="b">
        <v>1</v>
      </c>
      <c r="E44" s="6" t="s">
        <v>2241</v>
      </c>
      <c r="F44" s="1" t="s">
        <v>2242</v>
      </c>
      <c r="H44" s="11">
        <v>45817</v>
      </c>
      <c r="I44" s="1" t="str">
        <f t="shared" ca="1" si="0"/>
        <v/>
      </c>
      <c r="J44" s="1">
        <f t="shared" si="1"/>
        <v>42</v>
      </c>
    </row>
    <row r="45" spans="2:10">
      <c r="B45" s="1">
        <v>6</v>
      </c>
      <c r="C45" s="13"/>
      <c r="D45" s="5" t="b">
        <v>1</v>
      </c>
      <c r="E45" s="6" t="s">
        <v>2243</v>
      </c>
      <c r="F45" s="1" t="s">
        <v>2244</v>
      </c>
      <c r="H45" s="11">
        <v>45817</v>
      </c>
      <c r="I45" s="1" t="str">
        <f t="shared" ca="1" si="0"/>
        <v/>
      </c>
      <c r="J45" s="1">
        <f t="shared" si="1"/>
        <v>43</v>
      </c>
    </row>
    <row r="46" spans="2:10">
      <c r="B46" s="1">
        <v>6</v>
      </c>
      <c r="C46" s="13"/>
      <c r="D46" s="5" t="b">
        <v>1</v>
      </c>
      <c r="E46" s="6" t="s">
        <v>2245</v>
      </c>
      <c r="F46" s="1" t="s">
        <v>2246</v>
      </c>
      <c r="H46" s="11">
        <v>45817</v>
      </c>
      <c r="I46" s="1" t="str">
        <f t="shared" ca="1" si="0"/>
        <v/>
      </c>
      <c r="J46" s="1">
        <f t="shared" si="1"/>
        <v>44</v>
      </c>
    </row>
    <row r="47" spans="2:10">
      <c r="B47" s="1">
        <v>6</v>
      </c>
      <c r="C47" s="13"/>
      <c r="D47" s="5" t="b">
        <v>1</v>
      </c>
      <c r="E47" s="6" t="s">
        <v>2247</v>
      </c>
      <c r="F47" s="1" t="s">
        <v>2248</v>
      </c>
      <c r="H47" s="11">
        <v>45817</v>
      </c>
      <c r="I47" s="1" t="str">
        <f t="shared" ca="1" si="0"/>
        <v/>
      </c>
      <c r="J47" s="1">
        <f t="shared" si="1"/>
        <v>45</v>
      </c>
    </row>
    <row r="48" spans="2:10">
      <c r="B48" s="1">
        <v>6</v>
      </c>
      <c r="C48" s="13"/>
      <c r="D48" s="5" t="b">
        <v>1</v>
      </c>
      <c r="E48" s="6" t="s">
        <v>2249</v>
      </c>
      <c r="F48" s="1" t="s">
        <v>2250</v>
      </c>
      <c r="H48" s="11">
        <v>45817</v>
      </c>
      <c r="I48" s="1" t="str">
        <f t="shared" ca="1" si="0"/>
        <v/>
      </c>
      <c r="J48" s="1">
        <f t="shared" si="1"/>
        <v>46</v>
      </c>
    </row>
    <row r="49" spans="2:10">
      <c r="B49" s="1">
        <v>6</v>
      </c>
      <c r="C49" s="13"/>
      <c r="D49" s="5" t="b">
        <v>1</v>
      </c>
      <c r="E49" s="6" t="s">
        <v>2251</v>
      </c>
      <c r="F49" s="1" t="s">
        <v>2252</v>
      </c>
      <c r="H49" s="11">
        <v>45817</v>
      </c>
      <c r="I49" s="1" t="str">
        <f t="shared" ca="1" si="0"/>
        <v/>
      </c>
      <c r="J49" s="1">
        <f t="shared" si="1"/>
        <v>47</v>
      </c>
    </row>
    <row r="50" spans="2:10">
      <c r="B50" s="5">
        <v>6</v>
      </c>
      <c r="C50" s="12"/>
      <c r="D50" s="5" t="b">
        <v>1</v>
      </c>
      <c r="E50" s="6" t="s">
        <v>2253</v>
      </c>
      <c r="F50" s="5" t="s">
        <v>2254</v>
      </c>
      <c r="G50" s="46"/>
      <c r="H50" s="11">
        <v>45830</v>
      </c>
      <c r="I50" s="1" t="str">
        <f t="shared" ca="1" si="0"/>
        <v/>
      </c>
      <c r="J50" s="1">
        <f t="shared" si="1"/>
        <v>48</v>
      </c>
    </row>
    <row r="51" spans="2:10">
      <c r="B51" s="5">
        <v>6</v>
      </c>
      <c r="C51" s="12"/>
      <c r="D51" s="5" t="b">
        <v>1</v>
      </c>
      <c r="E51" s="6" t="s">
        <v>2255</v>
      </c>
      <c r="F51" s="5" t="s">
        <v>2256</v>
      </c>
      <c r="G51" s="46"/>
      <c r="H51" s="11">
        <v>45830</v>
      </c>
      <c r="I51" s="1" t="str">
        <f t="shared" ca="1" si="0"/>
        <v/>
      </c>
      <c r="J51" s="1">
        <f t="shared" si="1"/>
        <v>49</v>
      </c>
    </row>
    <row r="52" spans="2:10">
      <c r="B52" s="5">
        <v>6</v>
      </c>
      <c r="C52" s="12"/>
      <c r="D52" s="5" t="b">
        <v>1</v>
      </c>
      <c r="E52" s="6" t="s">
        <v>2257</v>
      </c>
      <c r="F52" s="5" t="s">
        <v>2258</v>
      </c>
      <c r="G52" s="46"/>
      <c r="H52" s="11">
        <v>45836</v>
      </c>
      <c r="I52" s="1" t="str">
        <f t="shared" ca="1" si="0"/>
        <v/>
      </c>
      <c r="J52" s="1">
        <f t="shared" si="1"/>
        <v>50</v>
      </c>
    </row>
    <row r="53" spans="2:10">
      <c r="B53" s="1">
        <v>5</v>
      </c>
      <c r="C53" s="13"/>
      <c r="D53" s="5" t="b">
        <v>1</v>
      </c>
      <c r="E53" s="6" t="s">
        <v>2259</v>
      </c>
      <c r="F53" s="1" t="s">
        <v>2260</v>
      </c>
      <c r="H53" s="11">
        <v>45756</v>
      </c>
      <c r="I53" s="1" t="str">
        <f t="shared" ca="1" si="0"/>
        <v/>
      </c>
      <c r="J53" s="1">
        <f t="shared" si="1"/>
        <v>51</v>
      </c>
    </row>
    <row r="54" spans="2:10">
      <c r="B54" s="1">
        <v>6</v>
      </c>
      <c r="C54" s="13"/>
      <c r="D54" s="5" t="b">
        <v>1</v>
      </c>
      <c r="E54" s="6" t="s">
        <v>2261</v>
      </c>
      <c r="F54" s="1" t="s">
        <v>2262</v>
      </c>
      <c r="H54" s="11">
        <v>45830</v>
      </c>
      <c r="I54" s="1" t="str">
        <f t="shared" ca="1" si="0"/>
        <v/>
      </c>
      <c r="J54" s="1">
        <f t="shared" si="1"/>
        <v>52</v>
      </c>
    </row>
    <row r="55" spans="2:10">
      <c r="B55" s="1">
        <v>6</v>
      </c>
      <c r="C55" s="13"/>
      <c r="D55" s="5" t="b">
        <v>1</v>
      </c>
      <c r="E55" s="6" t="s">
        <v>2263</v>
      </c>
      <c r="F55" s="1" t="s">
        <v>2264</v>
      </c>
      <c r="H55" s="11">
        <v>45830</v>
      </c>
      <c r="I55" s="1" t="str">
        <f t="shared" ca="1" si="0"/>
        <v/>
      </c>
      <c r="J55" s="1">
        <f t="shared" si="1"/>
        <v>53</v>
      </c>
    </row>
    <row r="56" spans="2:10">
      <c r="B56" s="1">
        <v>6</v>
      </c>
      <c r="C56" s="13"/>
      <c r="D56" s="5" t="b">
        <v>1</v>
      </c>
      <c r="E56" s="6" t="s">
        <v>2265</v>
      </c>
      <c r="F56" s="1" t="s">
        <v>2266</v>
      </c>
      <c r="H56" s="11">
        <v>45830</v>
      </c>
      <c r="I56" s="1" t="str">
        <f t="shared" ca="1" si="0"/>
        <v/>
      </c>
      <c r="J56" s="1">
        <f t="shared" si="1"/>
        <v>54</v>
      </c>
    </row>
    <row r="57" spans="2:10">
      <c r="B57" s="1">
        <v>6</v>
      </c>
      <c r="C57" s="13"/>
      <c r="D57" s="5" t="b">
        <v>1</v>
      </c>
      <c r="E57" s="6" t="s">
        <v>2267</v>
      </c>
      <c r="F57" s="1" t="s">
        <v>2268</v>
      </c>
      <c r="H57" s="11">
        <v>45836</v>
      </c>
      <c r="I57" s="1" t="str">
        <f t="shared" ca="1" si="0"/>
        <v/>
      </c>
      <c r="J57" s="1">
        <f t="shared" si="1"/>
        <v>55</v>
      </c>
    </row>
    <row r="58" spans="2:10">
      <c r="B58" s="1">
        <v>6</v>
      </c>
      <c r="C58" s="13"/>
      <c r="D58" s="5" t="b">
        <v>1</v>
      </c>
      <c r="E58" s="6" t="s">
        <v>2269</v>
      </c>
      <c r="F58" s="1" t="s">
        <v>2270</v>
      </c>
      <c r="H58" s="11">
        <v>45836</v>
      </c>
      <c r="I58" s="1" t="str">
        <f t="shared" ca="1" si="0"/>
        <v/>
      </c>
      <c r="J58" s="1">
        <f t="shared" si="1"/>
        <v>56</v>
      </c>
    </row>
    <row r="59" spans="2:10">
      <c r="B59" s="1">
        <v>6</v>
      </c>
      <c r="C59" s="13"/>
      <c r="D59" s="5" t="b">
        <v>1</v>
      </c>
      <c r="E59" s="6" t="s">
        <v>2271</v>
      </c>
      <c r="F59" s="13" t="s">
        <v>2272</v>
      </c>
      <c r="H59" s="11">
        <v>45836</v>
      </c>
      <c r="I59" s="1" t="str">
        <f t="shared" ca="1" si="0"/>
        <v/>
      </c>
      <c r="J59" s="1">
        <f t="shared" si="1"/>
        <v>57</v>
      </c>
    </row>
    <row r="60" spans="2:10">
      <c r="B60" s="1">
        <v>6</v>
      </c>
      <c r="C60" s="13"/>
      <c r="D60" s="5" t="b">
        <v>1</v>
      </c>
      <c r="E60" s="6" t="s">
        <v>2273</v>
      </c>
      <c r="F60" s="1" t="s">
        <v>2274</v>
      </c>
      <c r="H60" s="11">
        <v>45836</v>
      </c>
      <c r="I60" s="1" t="str">
        <f t="shared" ca="1" si="0"/>
        <v/>
      </c>
      <c r="J60" s="1">
        <f t="shared" si="1"/>
        <v>58</v>
      </c>
    </row>
    <row r="61" spans="2:10">
      <c r="B61" s="1">
        <v>6</v>
      </c>
      <c r="C61" s="13"/>
      <c r="D61" s="5" t="b">
        <v>1</v>
      </c>
      <c r="E61" s="6" t="s">
        <v>2275</v>
      </c>
      <c r="F61" s="1" t="s">
        <v>2276</v>
      </c>
      <c r="H61" s="11">
        <v>45836</v>
      </c>
      <c r="I61" s="1" t="str">
        <f t="shared" ca="1" si="0"/>
        <v/>
      </c>
      <c r="J61" s="1">
        <f t="shared" si="1"/>
        <v>59</v>
      </c>
    </row>
    <row r="62" spans="2:10">
      <c r="B62" s="1">
        <v>6</v>
      </c>
      <c r="C62" s="13"/>
      <c r="D62" s="5" t="b">
        <v>1</v>
      </c>
      <c r="E62" s="6" t="s">
        <v>2277</v>
      </c>
      <c r="F62" s="1" t="s">
        <v>2278</v>
      </c>
      <c r="H62" s="11">
        <v>45836</v>
      </c>
      <c r="I62" s="1" t="str">
        <f t="shared" ca="1" si="0"/>
        <v/>
      </c>
      <c r="J62" s="1">
        <f t="shared" si="1"/>
        <v>60</v>
      </c>
    </row>
    <row r="63" spans="2:10">
      <c r="B63" s="1">
        <v>6</v>
      </c>
      <c r="C63" s="13"/>
      <c r="D63" s="5" t="b">
        <v>1</v>
      </c>
      <c r="E63" s="6" t="s">
        <v>2279</v>
      </c>
      <c r="F63" s="1" t="s">
        <v>2280</v>
      </c>
      <c r="H63" s="11">
        <v>45836</v>
      </c>
      <c r="I63" s="1" t="str">
        <f t="shared" ca="1" si="0"/>
        <v/>
      </c>
      <c r="J63" s="1">
        <f t="shared" si="1"/>
        <v>61</v>
      </c>
    </row>
    <row r="64" spans="2:10">
      <c r="B64" s="1">
        <v>6</v>
      </c>
      <c r="C64" s="13"/>
      <c r="D64" s="5" t="b">
        <v>1</v>
      </c>
      <c r="E64" s="6" t="s">
        <v>2281</v>
      </c>
      <c r="F64" s="1" t="s">
        <v>2282</v>
      </c>
      <c r="H64" s="11">
        <v>45836</v>
      </c>
      <c r="I64" s="1" t="str">
        <f t="shared" ca="1" si="0"/>
        <v/>
      </c>
      <c r="J64" s="1">
        <f t="shared" si="1"/>
        <v>62</v>
      </c>
    </row>
    <row r="65" spans="2:10">
      <c r="B65" s="1">
        <v>6</v>
      </c>
      <c r="C65" s="13"/>
      <c r="D65" s="5" t="b">
        <v>1</v>
      </c>
      <c r="E65" s="6" t="s">
        <v>2283</v>
      </c>
      <c r="F65" s="1" t="s">
        <v>2284</v>
      </c>
      <c r="H65" s="11">
        <v>45836</v>
      </c>
      <c r="I65" s="1" t="str">
        <f t="shared" ca="1" si="0"/>
        <v/>
      </c>
      <c r="J65" s="1">
        <f t="shared" si="1"/>
        <v>63</v>
      </c>
    </row>
    <row r="66" spans="2:10">
      <c r="B66" s="1">
        <v>5</v>
      </c>
      <c r="C66" s="13"/>
      <c r="D66" s="5" t="b">
        <v>1</v>
      </c>
      <c r="E66" s="6" t="s">
        <v>2285</v>
      </c>
      <c r="F66" s="1" t="s">
        <v>2286</v>
      </c>
      <c r="H66" s="11">
        <v>45756</v>
      </c>
      <c r="I66" s="1" t="str">
        <f t="shared" ca="1" si="0"/>
        <v/>
      </c>
      <c r="J66" s="1">
        <f t="shared" si="1"/>
        <v>64</v>
      </c>
    </row>
    <row r="67" spans="2:10">
      <c r="B67" s="1">
        <v>6</v>
      </c>
      <c r="C67" s="13"/>
      <c r="D67" s="5" t="b">
        <v>1</v>
      </c>
      <c r="E67" s="6" t="s">
        <v>2287</v>
      </c>
      <c r="F67" s="1" t="s">
        <v>2288</v>
      </c>
      <c r="H67" s="11">
        <v>45836</v>
      </c>
      <c r="I67" s="1" t="str">
        <f t="shared" ref="I67:I130" ca="1" si="2">IF(H67-$G$1&lt;=0,"●","")</f>
        <v/>
      </c>
      <c r="J67" s="1">
        <f t="shared" ref="J67:J130" si="3">ROW()-2</f>
        <v>65</v>
      </c>
    </row>
    <row r="68" spans="2:10">
      <c r="B68" s="1">
        <v>6</v>
      </c>
      <c r="C68" s="13"/>
      <c r="D68" s="5" t="b">
        <v>1</v>
      </c>
      <c r="E68" s="6" t="s">
        <v>2289</v>
      </c>
      <c r="F68" s="1" t="s">
        <v>2290</v>
      </c>
      <c r="H68" s="11">
        <v>45836</v>
      </c>
      <c r="I68" s="1" t="str">
        <f t="shared" ca="1" si="2"/>
        <v/>
      </c>
      <c r="J68" s="1">
        <f t="shared" si="3"/>
        <v>66</v>
      </c>
    </row>
    <row r="69" spans="2:10">
      <c r="B69" s="1">
        <v>6</v>
      </c>
      <c r="C69" s="13"/>
      <c r="D69" s="5" t="b">
        <v>1</v>
      </c>
      <c r="E69" s="6" t="s">
        <v>2291</v>
      </c>
      <c r="F69" s="1" t="s">
        <v>2292</v>
      </c>
      <c r="H69" s="11">
        <v>45836</v>
      </c>
      <c r="I69" s="1" t="str">
        <f t="shared" ca="1" si="2"/>
        <v/>
      </c>
      <c r="J69" s="1">
        <f t="shared" si="3"/>
        <v>67</v>
      </c>
    </row>
    <row r="70" spans="2:10">
      <c r="B70" s="1">
        <v>6</v>
      </c>
      <c r="C70" s="13"/>
      <c r="D70" s="5" t="b">
        <v>1</v>
      </c>
      <c r="E70" s="6" t="s">
        <v>2293</v>
      </c>
      <c r="F70" s="1" t="s">
        <v>2294</v>
      </c>
      <c r="H70" s="11">
        <v>45836</v>
      </c>
      <c r="I70" s="1" t="str">
        <f t="shared" ca="1" si="2"/>
        <v/>
      </c>
      <c r="J70" s="1">
        <f t="shared" si="3"/>
        <v>68</v>
      </c>
    </row>
    <row r="71" spans="2:10">
      <c r="B71" s="1">
        <v>6</v>
      </c>
      <c r="C71" s="13"/>
      <c r="D71" s="5" t="b">
        <v>1</v>
      </c>
      <c r="E71" s="6" t="s">
        <v>2295</v>
      </c>
      <c r="F71" s="1" t="s">
        <v>2296</v>
      </c>
      <c r="H71" s="11">
        <v>45836</v>
      </c>
      <c r="I71" s="1" t="str">
        <f t="shared" ca="1" si="2"/>
        <v/>
      </c>
      <c r="J71" s="1">
        <f t="shared" si="3"/>
        <v>69</v>
      </c>
    </row>
    <row r="72" spans="2:10">
      <c r="B72" s="1">
        <v>6</v>
      </c>
      <c r="C72" s="13"/>
      <c r="D72" s="5" t="b">
        <v>1</v>
      </c>
      <c r="E72" s="6" t="s">
        <v>2297</v>
      </c>
      <c r="F72" s="1" t="s">
        <v>2298</v>
      </c>
      <c r="H72" s="11">
        <v>45836</v>
      </c>
      <c r="I72" s="1" t="str">
        <f t="shared" ca="1" si="2"/>
        <v/>
      </c>
      <c r="J72" s="1">
        <f t="shared" si="3"/>
        <v>70</v>
      </c>
    </row>
    <row r="73" spans="2:10">
      <c r="B73" s="1">
        <v>6</v>
      </c>
      <c r="C73" s="13"/>
      <c r="D73" s="5" t="b">
        <v>1</v>
      </c>
      <c r="E73" s="6" t="s">
        <v>2299</v>
      </c>
      <c r="F73" s="1" t="s">
        <v>2300</v>
      </c>
      <c r="H73" s="11">
        <v>45836</v>
      </c>
      <c r="I73" s="1" t="str">
        <f t="shared" ca="1" si="2"/>
        <v/>
      </c>
      <c r="J73" s="1">
        <f t="shared" si="3"/>
        <v>71</v>
      </c>
    </row>
    <row r="74" spans="2:10">
      <c r="B74" s="1">
        <v>6</v>
      </c>
      <c r="C74" s="13"/>
      <c r="D74" s="5" t="b">
        <v>1</v>
      </c>
      <c r="E74" s="6" t="s">
        <v>2301</v>
      </c>
      <c r="F74" s="1" t="s">
        <v>2302</v>
      </c>
      <c r="H74" s="11">
        <v>45836</v>
      </c>
      <c r="I74" s="1" t="str">
        <f t="shared" ca="1" si="2"/>
        <v/>
      </c>
      <c r="J74" s="1">
        <f t="shared" si="3"/>
        <v>72</v>
      </c>
    </row>
    <row r="75" spans="2:10">
      <c r="B75" s="1">
        <v>6</v>
      </c>
      <c r="C75" s="13"/>
      <c r="D75" s="5" t="b">
        <v>1</v>
      </c>
      <c r="E75" s="6" t="s">
        <v>2303</v>
      </c>
      <c r="F75" s="1" t="s">
        <v>2304</v>
      </c>
      <c r="H75" s="11">
        <v>45836</v>
      </c>
      <c r="I75" s="1" t="str">
        <f t="shared" ca="1" si="2"/>
        <v/>
      </c>
      <c r="J75" s="1">
        <f t="shared" si="3"/>
        <v>73</v>
      </c>
    </row>
    <row r="76" spans="2:10">
      <c r="B76" s="1">
        <v>6</v>
      </c>
      <c r="C76" s="13"/>
      <c r="D76" s="5" t="b">
        <v>1</v>
      </c>
      <c r="E76" s="6" t="s">
        <v>2305</v>
      </c>
      <c r="F76" s="1" t="s">
        <v>2306</v>
      </c>
      <c r="H76" s="11">
        <v>45836</v>
      </c>
      <c r="I76" s="1" t="str">
        <f t="shared" ca="1" si="2"/>
        <v/>
      </c>
      <c r="J76" s="1">
        <f t="shared" si="3"/>
        <v>74</v>
      </c>
    </row>
    <row r="77" spans="2:10">
      <c r="B77" s="1">
        <v>6</v>
      </c>
      <c r="C77" s="13"/>
      <c r="D77" s="5" t="b">
        <v>1</v>
      </c>
      <c r="E77" s="6" t="s">
        <v>2307</v>
      </c>
      <c r="F77" s="1" t="s">
        <v>2308</v>
      </c>
      <c r="H77" s="11">
        <v>45836</v>
      </c>
      <c r="I77" s="1" t="str">
        <f t="shared" ca="1" si="2"/>
        <v/>
      </c>
      <c r="J77" s="1">
        <f t="shared" si="3"/>
        <v>75</v>
      </c>
    </row>
    <row r="78" spans="2:10">
      <c r="B78" s="1">
        <v>6</v>
      </c>
      <c r="C78" s="13"/>
      <c r="D78" s="5" t="b">
        <v>1</v>
      </c>
      <c r="E78" s="6" t="s">
        <v>2309</v>
      </c>
      <c r="F78" s="1" t="s">
        <v>2310</v>
      </c>
      <c r="H78" s="11">
        <v>45836</v>
      </c>
      <c r="I78" s="1" t="str">
        <f t="shared" ca="1" si="2"/>
        <v/>
      </c>
      <c r="J78" s="1">
        <f t="shared" si="3"/>
        <v>76</v>
      </c>
    </row>
    <row r="79" spans="2:10">
      <c r="B79" s="1">
        <v>6</v>
      </c>
      <c r="C79" s="13"/>
      <c r="D79" s="5" t="b">
        <v>1</v>
      </c>
      <c r="E79" s="6" t="s">
        <v>2311</v>
      </c>
      <c r="F79" s="1" t="s">
        <v>2312</v>
      </c>
      <c r="H79" s="11">
        <v>45836</v>
      </c>
      <c r="I79" s="1" t="str">
        <f t="shared" ca="1" si="2"/>
        <v/>
      </c>
      <c r="J79" s="1">
        <f t="shared" si="3"/>
        <v>77</v>
      </c>
    </row>
    <row r="80" spans="2:10">
      <c r="B80" s="1">
        <v>6</v>
      </c>
      <c r="C80" s="13"/>
      <c r="D80" s="5" t="b">
        <v>1</v>
      </c>
      <c r="E80" s="6" t="s">
        <v>2313</v>
      </c>
      <c r="F80" s="1" t="s">
        <v>2314</v>
      </c>
      <c r="H80" s="11">
        <v>45836</v>
      </c>
      <c r="I80" s="1" t="str">
        <f t="shared" ca="1" si="2"/>
        <v/>
      </c>
      <c r="J80" s="1">
        <f t="shared" si="3"/>
        <v>78</v>
      </c>
    </row>
    <row r="81" spans="2:10">
      <c r="B81" s="1">
        <v>6</v>
      </c>
      <c r="C81" s="13"/>
      <c r="D81" s="5" t="b">
        <v>1</v>
      </c>
      <c r="E81" s="6" t="s">
        <v>2315</v>
      </c>
      <c r="F81" s="1" t="s">
        <v>2316</v>
      </c>
      <c r="H81" s="11">
        <v>45836</v>
      </c>
      <c r="I81" s="1" t="str">
        <f t="shared" ca="1" si="2"/>
        <v/>
      </c>
      <c r="J81" s="1">
        <f t="shared" si="3"/>
        <v>79</v>
      </c>
    </row>
    <row r="82" spans="2:10">
      <c r="B82" s="1">
        <v>6</v>
      </c>
      <c r="C82" s="13"/>
      <c r="D82" s="5" t="b">
        <v>1</v>
      </c>
      <c r="E82" s="6" t="s">
        <v>2317</v>
      </c>
      <c r="F82" s="1" t="s">
        <v>2318</v>
      </c>
      <c r="H82" s="11">
        <v>45836</v>
      </c>
      <c r="I82" s="1" t="str">
        <f t="shared" ca="1" si="2"/>
        <v/>
      </c>
      <c r="J82" s="1">
        <f t="shared" si="3"/>
        <v>80</v>
      </c>
    </row>
    <row r="83" spans="2:10">
      <c r="B83" s="1">
        <v>6</v>
      </c>
      <c r="C83" s="13"/>
      <c r="D83" s="5" t="b">
        <v>1</v>
      </c>
      <c r="E83" s="6" t="s">
        <v>2319</v>
      </c>
      <c r="F83" s="1" t="s">
        <v>2320</v>
      </c>
      <c r="H83" s="11">
        <v>45836</v>
      </c>
      <c r="I83" s="1" t="str">
        <f t="shared" ca="1" si="2"/>
        <v/>
      </c>
      <c r="J83" s="1">
        <f t="shared" si="3"/>
        <v>81</v>
      </c>
    </row>
    <row r="84" spans="2:10">
      <c r="B84" s="1">
        <v>6</v>
      </c>
      <c r="C84" s="13"/>
      <c r="D84" s="5" t="b">
        <v>1</v>
      </c>
      <c r="E84" s="6" t="s">
        <v>2321</v>
      </c>
      <c r="F84" s="1" t="s">
        <v>2322</v>
      </c>
      <c r="H84" s="11">
        <v>45836</v>
      </c>
      <c r="I84" s="1" t="str">
        <f t="shared" ca="1" si="2"/>
        <v/>
      </c>
      <c r="J84" s="1">
        <f t="shared" si="3"/>
        <v>82</v>
      </c>
    </row>
    <row r="85" spans="2:10">
      <c r="B85" s="1">
        <v>6</v>
      </c>
      <c r="C85" s="13"/>
      <c r="D85" s="5" t="b">
        <v>1</v>
      </c>
      <c r="E85" s="6" t="s">
        <v>2323</v>
      </c>
      <c r="F85" s="1" t="s">
        <v>2324</v>
      </c>
      <c r="H85" s="11">
        <v>45836</v>
      </c>
      <c r="I85" s="1" t="str">
        <f t="shared" ca="1" si="2"/>
        <v/>
      </c>
      <c r="J85" s="1">
        <f t="shared" si="3"/>
        <v>83</v>
      </c>
    </row>
    <row r="86" spans="2:10">
      <c r="B86" s="1">
        <v>6</v>
      </c>
      <c r="C86" s="13"/>
      <c r="D86" s="5" t="b">
        <v>1</v>
      </c>
      <c r="E86" s="6" t="s">
        <v>2325</v>
      </c>
      <c r="F86" s="1" t="s">
        <v>2326</v>
      </c>
      <c r="H86" s="11">
        <v>45836</v>
      </c>
      <c r="I86" s="1" t="str">
        <f t="shared" ca="1" si="2"/>
        <v/>
      </c>
      <c r="J86" s="1">
        <f t="shared" si="3"/>
        <v>84</v>
      </c>
    </row>
    <row r="87" spans="2:10">
      <c r="B87" s="1">
        <v>6</v>
      </c>
      <c r="C87" s="13"/>
      <c r="D87" s="5" t="b">
        <v>1</v>
      </c>
      <c r="E87" s="6" t="s">
        <v>2327</v>
      </c>
      <c r="F87" s="1" t="s">
        <v>2328</v>
      </c>
      <c r="H87" s="11">
        <v>45836</v>
      </c>
      <c r="I87" s="1" t="str">
        <f t="shared" ca="1" si="2"/>
        <v/>
      </c>
      <c r="J87" s="1">
        <f t="shared" si="3"/>
        <v>85</v>
      </c>
    </row>
    <row r="88" spans="2:10">
      <c r="B88" s="1">
        <v>6</v>
      </c>
      <c r="C88" s="13"/>
      <c r="D88" s="5" t="b">
        <v>1</v>
      </c>
      <c r="E88" s="6" t="s">
        <v>2329</v>
      </c>
      <c r="F88" s="1" t="s">
        <v>2330</v>
      </c>
      <c r="H88" s="11">
        <v>45836</v>
      </c>
      <c r="I88" s="1" t="str">
        <f t="shared" ca="1" si="2"/>
        <v/>
      </c>
      <c r="J88" s="1">
        <f t="shared" si="3"/>
        <v>86</v>
      </c>
    </row>
    <row r="89" spans="2:10">
      <c r="B89" s="1">
        <v>6</v>
      </c>
      <c r="C89" s="13"/>
      <c r="D89" s="5" t="b">
        <v>1</v>
      </c>
      <c r="E89" s="6" t="s">
        <v>2331</v>
      </c>
      <c r="F89" s="1" t="s">
        <v>2332</v>
      </c>
      <c r="H89" s="11">
        <v>45836</v>
      </c>
      <c r="I89" s="1" t="str">
        <f t="shared" ca="1" si="2"/>
        <v/>
      </c>
      <c r="J89" s="1">
        <f t="shared" si="3"/>
        <v>87</v>
      </c>
    </row>
    <row r="90" spans="2:10">
      <c r="B90" s="1">
        <v>6</v>
      </c>
      <c r="C90" s="13"/>
      <c r="D90" s="5" t="b">
        <v>1</v>
      </c>
      <c r="E90" s="6" t="s">
        <v>2333</v>
      </c>
      <c r="F90" s="1" t="s">
        <v>2334</v>
      </c>
      <c r="H90" s="11">
        <v>45836</v>
      </c>
      <c r="I90" s="1" t="str">
        <f t="shared" ca="1" si="2"/>
        <v/>
      </c>
      <c r="J90" s="1">
        <f t="shared" si="3"/>
        <v>88</v>
      </c>
    </row>
    <row r="91" spans="2:10">
      <c r="B91" s="1">
        <v>6</v>
      </c>
      <c r="C91" s="13"/>
      <c r="D91" s="5" t="b">
        <v>1</v>
      </c>
      <c r="E91" s="6" t="s">
        <v>2335</v>
      </c>
      <c r="F91" s="1" t="s">
        <v>2336</v>
      </c>
      <c r="H91" s="11">
        <v>45836</v>
      </c>
      <c r="I91" s="1" t="str">
        <f t="shared" ca="1" si="2"/>
        <v/>
      </c>
      <c r="J91" s="1">
        <f t="shared" si="3"/>
        <v>89</v>
      </c>
    </row>
    <row r="92" spans="2:10">
      <c r="B92" s="1">
        <v>6</v>
      </c>
      <c r="C92" s="13"/>
      <c r="D92" s="5" t="b">
        <v>1</v>
      </c>
      <c r="E92" s="6" t="s">
        <v>2337</v>
      </c>
      <c r="F92" s="1" t="s">
        <v>2338</v>
      </c>
      <c r="H92" s="11">
        <v>45836</v>
      </c>
      <c r="I92" s="1" t="str">
        <f t="shared" ca="1" si="2"/>
        <v/>
      </c>
      <c r="J92" s="1">
        <f t="shared" si="3"/>
        <v>90</v>
      </c>
    </row>
    <row r="93" spans="2:10">
      <c r="B93" s="1">
        <v>6</v>
      </c>
      <c r="C93" s="13"/>
      <c r="D93" s="5" t="b">
        <v>1</v>
      </c>
      <c r="E93" s="6" t="s">
        <v>2339</v>
      </c>
      <c r="F93" s="1" t="s">
        <v>2340</v>
      </c>
      <c r="H93" s="11">
        <v>45836</v>
      </c>
      <c r="I93" s="1" t="str">
        <f t="shared" ca="1" si="2"/>
        <v/>
      </c>
      <c r="J93" s="1">
        <f t="shared" si="3"/>
        <v>91</v>
      </c>
    </row>
    <row r="94" spans="2:10">
      <c r="B94" s="1">
        <v>6</v>
      </c>
      <c r="C94" s="13"/>
      <c r="D94" s="5" t="b">
        <v>1</v>
      </c>
      <c r="E94" s="6" t="s">
        <v>2341</v>
      </c>
      <c r="F94" s="1" t="s">
        <v>2342</v>
      </c>
      <c r="H94" s="11">
        <v>45836</v>
      </c>
      <c r="I94" s="1" t="str">
        <f t="shared" ca="1" si="2"/>
        <v/>
      </c>
      <c r="J94" s="1">
        <f t="shared" si="3"/>
        <v>92</v>
      </c>
    </row>
    <row r="95" spans="2:10">
      <c r="B95" s="1">
        <v>6</v>
      </c>
      <c r="C95" s="13"/>
      <c r="D95" s="5" t="b">
        <v>1</v>
      </c>
      <c r="E95" s="6" t="s">
        <v>2343</v>
      </c>
      <c r="F95" s="1" t="s">
        <v>2344</v>
      </c>
      <c r="H95" s="11">
        <v>45836</v>
      </c>
      <c r="I95" s="1" t="str">
        <f t="shared" ca="1" si="2"/>
        <v/>
      </c>
      <c r="J95" s="1">
        <f t="shared" si="3"/>
        <v>93</v>
      </c>
    </row>
    <row r="96" spans="2:10">
      <c r="B96" s="1">
        <v>6</v>
      </c>
      <c r="C96" s="13"/>
      <c r="D96" s="5" t="b">
        <v>1</v>
      </c>
      <c r="E96" s="6" t="s">
        <v>2345</v>
      </c>
      <c r="F96" s="1" t="s">
        <v>2346</v>
      </c>
      <c r="H96" s="11">
        <v>45836</v>
      </c>
      <c r="I96" s="1" t="str">
        <f t="shared" ca="1" si="2"/>
        <v/>
      </c>
      <c r="J96" s="1">
        <f t="shared" si="3"/>
        <v>94</v>
      </c>
    </row>
    <row r="97" spans="2:10">
      <c r="B97" s="1">
        <v>6</v>
      </c>
      <c r="C97" s="13"/>
      <c r="D97" s="5" t="b">
        <v>1</v>
      </c>
      <c r="E97" s="6" t="s">
        <v>2347</v>
      </c>
      <c r="F97" s="1" t="s">
        <v>2348</v>
      </c>
      <c r="H97" s="11">
        <v>45836</v>
      </c>
      <c r="I97" s="1" t="str">
        <f t="shared" ca="1" si="2"/>
        <v/>
      </c>
      <c r="J97" s="1">
        <f t="shared" si="3"/>
        <v>95</v>
      </c>
    </row>
    <row r="98" spans="2:10">
      <c r="B98" s="1">
        <v>6</v>
      </c>
      <c r="C98" s="13"/>
      <c r="D98" s="5" t="b">
        <v>1</v>
      </c>
      <c r="E98" s="6" t="s">
        <v>2349</v>
      </c>
      <c r="F98" s="1" t="s">
        <v>2350</v>
      </c>
      <c r="H98" s="11">
        <v>45836</v>
      </c>
      <c r="I98" s="1" t="str">
        <f t="shared" ca="1" si="2"/>
        <v/>
      </c>
      <c r="J98" s="1">
        <f t="shared" si="3"/>
        <v>96</v>
      </c>
    </row>
    <row r="99" spans="2:10">
      <c r="B99" s="1">
        <v>6</v>
      </c>
      <c r="C99" s="13"/>
      <c r="D99" s="5" t="b">
        <v>1</v>
      </c>
      <c r="E99" s="6" t="s">
        <v>2351</v>
      </c>
      <c r="F99" s="1" t="s">
        <v>2352</v>
      </c>
      <c r="H99" s="11">
        <v>45836</v>
      </c>
      <c r="I99" s="1" t="str">
        <f t="shared" ca="1" si="2"/>
        <v/>
      </c>
      <c r="J99" s="1">
        <f t="shared" si="3"/>
        <v>97</v>
      </c>
    </row>
    <row r="100" spans="2:10">
      <c r="B100" s="1">
        <v>6</v>
      </c>
      <c r="C100" s="13"/>
      <c r="D100" s="5" t="b">
        <v>1</v>
      </c>
      <c r="E100" s="6" t="s">
        <v>2353</v>
      </c>
      <c r="F100" s="1" t="s">
        <v>2354</v>
      </c>
      <c r="H100" s="11">
        <v>45836</v>
      </c>
      <c r="I100" s="1" t="str">
        <f t="shared" ca="1" si="2"/>
        <v/>
      </c>
      <c r="J100" s="1">
        <f t="shared" si="3"/>
        <v>98</v>
      </c>
    </row>
    <row r="101" spans="2:10">
      <c r="B101" s="1">
        <v>6</v>
      </c>
      <c r="C101" s="13"/>
      <c r="D101" s="5" t="b">
        <v>1</v>
      </c>
      <c r="E101" s="6" t="s">
        <v>2355</v>
      </c>
      <c r="F101" s="1" t="s">
        <v>2356</v>
      </c>
      <c r="H101" s="11">
        <v>45836</v>
      </c>
      <c r="I101" s="1" t="str">
        <f t="shared" ca="1" si="2"/>
        <v/>
      </c>
      <c r="J101" s="1">
        <f t="shared" si="3"/>
        <v>99</v>
      </c>
    </row>
    <row r="102" spans="2:10">
      <c r="B102" s="1">
        <v>6</v>
      </c>
      <c r="C102" s="13"/>
      <c r="D102" s="5" t="b">
        <v>1</v>
      </c>
      <c r="E102" s="6" t="s">
        <v>2357</v>
      </c>
      <c r="F102" s="1" t="s">
        <v>2358</v>
      </c>
      <c r="H102" s="11">
        <v>45836</v>
      </c>
      <c r="I102" s="1" t="str">
        <f t="shared" ca="1" si="2"/>
        <v/>
      </c>
      <c r="J102" s="1">
        <f t="shared" si="3"/>
        <v>100</v>
      </c>
    </row>
    <row r="103" spans="2:10">
      <c r="B103" s="1">
        <v>6</v>
      </c>
      <c r="C103" s="13"/>
      <c r="D103" s="5" t="b">
        <v>1</v>
      </c>
      <c r="E103" s="6" t="s">
        <v>2359</v>
      </c>
      <c r="F103" s="1" t="s">
        <v>2360</v>
      </c>
      <c r="H103" s="11">
        <v>45836</v>
      </c>
      <c r="I103" s="1" t="str">
        <f t="shared" ca="1" si="2"/>
        <v/>
      </c>
      <c r="J103" s="1">
        <f t="shared" si="3"/>
        <v>101</v>
      </c>
    </row>
    <row r="104" spans="2:10">
      <c r="B104" s="1">
        <v>6</v>
      </c>
      <c r="C104" s="13"/>
      <c r="D104" s="5" t="b">
        <v>1</v>
      </c>
      <c r="E104" s="6" t="s">
        <v>2361</v>
      </c>
      <c r="F104" s="1" t="s">
        <v>2362</v>
      </c>
      <c r="H104" s="11">
        <v>45836</v>
      </c>
      <c r="I104" s="1" t="str">
        <f t="shared" ca="1" si="2"/>
        <v/>
      </c>
      <c r="J104" s="1">
        <f t="shared" si="3"/>
        <v>102</v>
      </c>
    </row>
    <row r="105" spans="2:10">
      <c r="B105" s="1">
        <v>6</v>
      </c>
      <c r="C105" s="13"/>
      <c r="D105" s="5" t="b">
        <v>1</v>
      </c>
      <c r="E105" s="6" t="s">
        <v>2363</v>
      </c>
      <c r="F105" s="1" t="s">
        <v>2364</v>
      </c>
      <c r="H105" s="11">
        <v>45836</v>
      </c>
      <c r="I105" s="1" t="str">
        <f t="shared" ca="1" si="2"/>
        <v/>
      </c>
      <c r="J105" s="1">
        <f t="shared" si="3"/>
        <v>103</v>
      </c>
    </row>
    <row r="106" spans="2:10">
      <c r="B106" s="1">
        <v>6</v>
      </c>
      <c r="C106" s="13"/>
      <c r="D106" s="5" t="b">
        <v>1</v>
      </c>
      <c r="E106" s="6" t="s">
        <v>2365</v>
      </c>
      <c r="F106" s="1" t="s">
        <v>2366</v>
      </c>
      <c r="H106" s="11">
        <v>45836</v>
      </c>
      <c r="I106" s="1" t="str">
        <f t="shared" ca="1" si="2"/>
        <v/>
      </c>
      <c r="J106" s="1">
        <f t="shared" si="3"/>
        <v>104</v>
      </c>
    </row>
    <row r="107" spans="2:10">
      <c r="B107" s="1">
        <v>6</v>
      </c>
      <c r="C107" s="13"/>
      <c r="D107" s="5" t="b">
        <v>1</v>
      </c>
      <c r="E107" s="6" t="s">
        <v>2367</v>
      </c>
      <c r="F107" s="1" t="s">
        <v>2368</v>
      </c>
      <c r="H107" s="11">
        <v>45836</v>
      </c>
      <c r="I107" s="1" t="str">
        <f t="shared" ca="1" si="2"/>
        <v/>
      </c>
      <c r="J107" s="1">
        <f t="shared" si="3"/>
        <v>105</v>
      </c>
    </row>
    <row r="108" spans="2:10">
      <c r="B108" s="1">
        <v>6</v>
      </c>
      <c r="C108" s="13"/>
      <c r="D108" s="5" t="b">
        <v>1</v>
      </c>
      <c r="E108" s="6" t="s">
        <v>2369</v>
      </c>
      <c r="F108" s="1" t="s">
        <v>2370</v>
      </c>
      <c r="H108" s="11">
        <v>45836</v>
      </c>
      <c r="I108" s="1" t="str">
        <f t="shared" ca="1" si="2"/>
        <v/>
      </c>
      <c r="J108" s="1">
        <f t="shared" si="3"/>
        <v>106</v>
      </c>
    </row>
    <row r="109" spans="2:10">
      <c r="B109" s="1">
        <v>6</v>
      </c>
      <c r="C109" s="13"/>
      <c r="D109" s="5" t="b">
        <v>1</v>
      </c>
      <c r="E109" s="6" t="s">
        <v>2371</v>
      </c>
      <c r="F109" s="1" t="s">
        <v>2372</v>
      </c>
      <c r="H109" s="11">
        <v>45836</v>
      </c>
      <c r="I109" s="1" t="str">
        <f t="shared" ca="1" si="2"/>
        <v/>
      </c>
      <c r="J109" s="1">
        <f t="shared" si="3"/>
        <v>107</v>
      </c>
    </row>
    <row r="110" spans="2:10">
      <c r="B110" s="1">
        <v>6</v>
      </c>
      <c r="C110" s="13"/>
      <c r="D110" s="5" t="b">
        <v>1</v>
      </c>
      <c r="E110" s="6" t="s">
        <v>2373</v>
      </c>
      <c r="F110" s="1" t="s">
        <v>2374</v>
      </c>
      <c r="H110" s="11">
        <v>45836</v>
      </c>
      <c r="I110" s="1" t="str">
        <f t="shared" ca="1" si="2"/>
        <v/>
      </c>
      <c r="J110" s="1">
        <f t="shared" si="3"/>
        <v>108</v>
      </c>
    </row>
    <row r="111" spans="2:10">
      <c r="B111" s="1">
        <v>6</v>
      </c>
      <c r="C111" s="13"/>
      <c r="D111" s="5" t="b">
        <v>1</v>
      </c>
      <c r="E111" s="6" t="s">
        <v>2375</v>
      </c>
      <c r="F111" s="1" t="s">
        <v>2376</v>
      </c>
      <c r="H111" s="11">
        <v>45836</v>
      </c>
      <c r="I111" s="1" t="str">
        <f t="shared" ca="1" si="2"/>
        <v/>
      </c>
      <c r="J111" s="1">
        <f t="shared" si="3"/>
        <v>109</v>
      </c>
    </row>
    <row r="112" spans="2:10">
      <c r="B112" s="1">
        <v>6</v>
      </c>
      <c r="C112" s="13"/>
      <c r="D112" s="5" t="b">
        <v>1</v>
      </c>
      <c r="E112" s="6" t="s">
        <v>2377</v>
      </c>
      <c r="F112" s="1" t="s">
        <v>2378</v>
      </c>
      <c r="H112" s="11">
        <v>45836</v>
      </c>
      <c r="I112" s="1" t="str">
        <f t="shared" ca="1" si="2"/>
        <v/>
      </c>
      <c r="J112" s="1">
        <f t="shared" si="3"/>
        <v>110</v>
      </c>
    </row>
    <row r="113" spans="2:10">
      <c r="B113" s="1">
        <v>6</v>
      </c>
      <c r="C113" s="13"/>
      <c r="D113" s="5" t="b">
        <v>1</v>
      </c>
      <c r="E113" s="6" t="s">
        <v>2379</v>
      </c>
      <c r="F113" s="1" t="s">
        <v>2380</v>
      </c>
      <c r="H113" s="11">
        <v>45836</v>
      </c>
      <c r="I113" s="1" t="str">
        <f t="shared" ca="1" si="2"/>
        <v/>
      </c>
      <c r="J113" s="1">
        <f t="shared" si="3"/>
        <v>111</v>
      </c>
    </row>
    <row r="114" spans="2:10">
      <c r="B114" s="1">
        <v>6</v>
      </c>
      <c r="C114" s="13"/>
      <c r="D114" s="5" t="b">
        <v>1</v>
      </c>
      <c r="E114" s="6" t="s">
        <v>2381</v>
      </c>
      <c r="F114" s="1" t="s">
        <v>2382</v>
      </c>
      <c r="H114" s="11">
        <v>45836</v>
      </c>
      <c r="I114" s="1" t="str">
        <f t="shared" ca="1" si="2"/>
        <v/>
      </c>
      <c r="J114" s="1">
        <f t="shared" si="3"/>
        <v>112</v>
      </c>
    </row>
    <row r="115" spans="2:10">
      <c r="B115" s="1">
        <v>6</v>
      </c>
      <c r="C115" s="13"/>
      <c r="D115" s="5" t="b">
        <v>1</v>
      </c>
      <c r="E115" s="6" t="s">
        <v>2383</v>
      </c>
      <c r="F115" s="1" t="s">
        <v>2384</v>
      </c>
      <c r="H115" s="11">
        <v>45836</v>
      </c>
      <c r="I115" s="1" t="str">
        <f t="shared" ca="1" si="2"/>
        <v/>
      </c>
      <c r="J115" s="1">
        <f t="shared" si="3"/>
        <v>113</v>
      </c>
    </row>
    <row r="116" spans="2:10">
      <c r="B116" s="1">
        <v>6</v>
      </c>
      <c r="C116" s="13"/>
      <c r="D116" s="5" t="b">
        <v>1</v>
      </c>
      <c r="E116" s="6" t="s">
        <v>2385</v>
      </c>
      <c r="F116" s="1" t="s">
        <v>2386</v>
      </c>
      <c r="H116" s="11">
        <v>45836</v>
      </c>
      <c r="I116" s="1" t="str">
        <f t="shared" ca="1" si="2"/>
        <v/>
      </c>
      <c r="J116" s="1">
        <f t="shared" si="3"/>
        <v>114</v>
      </c>
    </row>
    <row r="117" spans="2:10">
      <c r="B117" s="1">
        <v>6</v>
      </c>
      <c r="C117" s="13"/>
      <c r="D117" s="5" t="b">
        <v>1</v>
      </c>
      <c r="E117" s="6" t="s">
        <v>2387</v>
      </c>
      <c r="F117" s="1" t="s">
        <v>2388</v>
      </c>
      <c r="H117" s="11">
        <v>45836</v>
      </c>
      <c r="I117" s="1" t="str">
        <f t="shared" ca="1" si="2"/>
        <v/>
      </c>
      <c r="J117" s="1">
        <f t="shared" si="3"/>
        <v>115</v>
      </c>
    </row>
    <row r="118" spans="2:10">
      <c r="B118" s="1">
        <v>6</v>
      </c>
      <c r="C118" s="13"/>
      <c r="D118" s="5" t="b">
        <v>1</v>
      </c>
      <c r="E118" s="6" t="s">
        <v>2389</v>
      </c>
      <c r="F118" s="13" t="s">
        <v>2390</v>
      </c>
      <c r="G118" s="43"/>
      <c r="H118" s="11">
        <v>45836</v>
      </c>
      <c r="I118" s="1" t="str">
        <f t="shared" ca="1" si="2"/>
        <v/>
      </c>
      <c r="J118" s="1">
        <f t="shared" si="3"/>
        <v>116</v>
      </c>
    </row>
    <row r="119" spans="2:10">
      <c r="B119" s="1">
        <v>6</v>
      </c>
      <c r="C119" s="13"/>
      <c r="D119" s="5" t="b">
        <v>1</v>
      </c>
      <c r="E119" s="6" t="s">
        <v>2391</v>
      </c>
      <c r="F119" s="1" t="s">
        <v>2392</v>
      </c>
      <c r="H119" s="11">
        <v>45836</v>
      </c>
      <c r="I119" s="1" t="str">
        <f t="shared" ca="1" si="2"/>
        <v/>
      </c>
      <c r="J119" s="1">
        <f t="shared" si="3"/>
        <v>117</v>
      </c>
    </row>
    <row r="120" spans="2:10">
      <c r="B120" s="1">
        <v>6</v>
      </c>
      <c r="C120" s="13"/>
      <c r="D120" s="5" t="b">
        <v>1</v>
      </c>
      <c r="E120" s="6" t="s">
        <v>2393</v>
      </c>
      <c r="F120" s="1" t="s">
        <v>2394</v>
      </c>
      <c r="H120" s="11">
        <v>45836</v>
      </c>
      <c r="I120" s="1" t="str">
        <f t="shared" ca="1" si="2"/>
        <v/>
      </c>
      <c r="J120" s="1">
        <f t="shared" si="3"/>
        <v>118</v>
      </c>
    </row>
    <row r="121" spans="2:10">
      <c r="B121" s="1">
        <v>6</v>
      </c>
      <c r="C121" s="13"/>
      <c r="D121" s="5" t="b">
        <v>1</v>
      </c>
      <c r="E121" s="6" t="s">
        <v>2395</v>
      </c>
      <c r="F121" s="1" t="s">
        <v>2396</v>
      </c>
      <c r="H121" s="11">
        <v>45836</v>
      </c>
      <c r="I121" s="1" t="str">
        <f t="shared" ca="1" si="2"/>
        <v/>
      </c>
      <c r="J121" s="1">
        <f t="shared" si="3"/>
        <v>119</v>
      </c>
    </row>
    <row r="122" spans="2:10">
      <c r="B122" s="1">
        <v>6</v>
      </c>
      <c r="C122" s="13"/>
      <c r="D122" s="5" t="b">
        <v>1</v>
      </c>
      <c r="E122" s="6" t="s">
        <v>2397</v>
      </c>
      <c r="F122" s="1" t="s">
        <v>2398</v>
      </c>
      <c r="H122" s="11">
        <v>45836</v>
      </c>
      <c r="I122" s="1" t="str">
        <f t="shared" ca="1" si="2"/>
        <v/>
      </c>
      <c r="J122" s="1">
        <f t="shared" si="3"/>
        <v>120</v>
      </c>
    </row>
    <row r="123" spans="2:10">
      <c r="B123" s="1">
        <v>6</v>
      </c>
      <c r="C123" s="13"/>
      <c r="D123" s="5" t="b">
        <v>1</v>
      </c>
      <c r="E123" s="6" t="s">
        <v>2399</v>
      </c>
      <c r="F123" s="1" t="s">
        <v>2400</v>
      </c>
      <c r="H123" s="11">
        <v>45836</v>
      </c>
      <c r="I123" s="1" t="str">
        <f t="shared" ca="1" si="2"/>
        <v/>
      </c>
      <c r="J123" s="1">
        <f t="shared" si="3"/>
        <v>121</v>
      </c>
    </row>
    <row r="124" spans="2:10">
      <c r="B124" s="1">
        <v>6</v>
      </c>
      <c r="C124" s="13"/>
      <c r="D124" s="5" t="b">
        <v>1</v>
      </c>
      <c r="E124" s="6" t="s">
        <v>2401</v>
      </c>
      <c r="F124" s="1" t="s">
        <v>2402</v>
      </c>
      <c r="H124" s="11">
        <v>45836</v>
      </c>
      <c r="I124" s="1" t="str">
        <f t="shared" ca="1" si="2"/>
        <v/>
      </c>
      <c r="J124" s="1">
        <f t="shared" si="3"/>
        <v>122</v>
      </c>
    </row>
    <row r="125" spans="2:10">
      <c r="B125" s="1">
        <v>6</v>
      </c>
      <c r="C125" s="13"/>
      <c r="D125" s="5" t="b">
        <v>1</v>
      </c>
      <c r="E125" s="6" t="s">
        <v>2403</v>
      </c>
      <c r="F125" s="1" t="s">
        <v>2404</v>
      </c>
      <c r="H125" s="11">
        <v>45836</v>
      </c>
      <c r="I125" s="1" t="str">
        <f t="shared" ca="1" si="2"/>
        <v/>
      </c>
      <c r="J125" s="1">
        <f t="shared" si="3"/>
        <v>123</v>
      </c>
    </row>
    <row r="126" spans="2:10">
      <c r="B126" s="1">
        <v>6</v>
      </c>
      <c r="C126" s="13"/>
      <c r="D126" s="5" t="b">
        <v>1</v>
      </c>
      <c r="E126" s="6" t="s">
        <v>2405</v>
      </c>
      <c r="F126" s="1" t="s">
        <v>2406</v>
      </c>
      <c r="H126" s="11">
        <v>45836</v>
      </c>
      <c r="I126" s="1" t="str">
        <f t="shared" ca="1" si="2"/>
        <v/>
      </c>
      <c r="J126" s="1">
        <f t="shared" si="3"/>
        <v>124</v>
      </c>
    </row>
    <row r="127" spans="2:10">
      <c r="B127" s="1">
        <v>6</v>
      </c>
      <c r="C127" s="13"/>
      <c r="D127" s="5" t="b">
        <v>1</v>
      </c>
      <c r="E127" s="6" t="s">
        <v>2407</v>
      </c>
      <c r="F127" s="1" t="s">
        <v>2408</v>
      </c>
      <c r="H127" s="11">
        <v>45836</v>
      </c>
      <c r="I127" s="1" t="str">
        <f t="shared" ca="1" si="2"/>
        <v/>
      </c>
      <c r="J127" s="1">
        <f t="shared" si="3"/>
        <v>125</v>
      </c>
    </row>
    <row r="128" spans="2:10">
      <c r="B128" s="1">
        <v>6</v>
      </c>
      <c r="C128" s="13"/>
      <c r="D128" s="5" t="b">
        <v>1</v>
      </c>
      <c r="E128" s="6" t="s">
        <v>2409</v>
      </c>
      <c r="F128" s="1" t="s">
        <v>2410</v>
      </c>
      <c r="H128" s="11">
        <v>45836</v>
      </c>
      <c r="I128" s="1" t="str">
        <f t="shared" ca="1" si="2"/>
        <v/>
      </c>
      <c r="J128" s="1">
        <f t="shared" si="3"/>
        <v>126</v>
      </c>
    </row>
    <row r="129" spans="2:10">
      <c r="B129" s="1">
        <v>6</v>
      </c>
      <c r="C129" s="13"/>
      <c r="D129" s="5" t="b">
        <v>1</v>
      </c>
      <c r="E129" s="6" t="s">
        <v>2411</v>
      </c>
      <c r="F129" s="1" t="s">
        <v>2412</v>
      </c>
      <c r="H129" s="11">
        <v>45836</v>
      </c>
      <c r="I129" s="1" t="str">
        <f t="shared" ca="1" si="2"/>
        <v/>
      </c>
      <c r="J129" s="1">
        <f t="shared" si="3"/>
        <v>127</v>
      </c>
    </row>
    <row r="130" spans="2:10">
      <c r="B130" s="1">
        <v>6</v>
      </c>
      <c r="C130" s="13"/>
      <c r="D130" s="5" t="b">
        <v>1</v>
      </c>
      <c r="E130" s="6" t="s">
        <v>2413</v>
      </c>
      <c r="F130" s="1" t="s">
        <v>2414</v>
      </c>
      <c r="H130" s="11">
        <v>45836</v>
      </c>
      <c r="I130" s="1" t="str">
        <f t="shared" ca="1" si="2"/>
        <v/>
      </c>
      <c r="J130" s="1">
        <f t="shared" si="3"/>
        <v>128</v>
      </c>
    </row>
    <row r="131" spans="2:10">
      <c r="B131" s="1">
        <v>6</v>
      </c>
      <c r="C131" s="13"/>
      <c r="D131" s="5" t="b">
        <v>1</v>
      </c>
      <c r="E131" s="6" t="s">
        <v>2415</v>
      </c>
      <c r="F131" s="1" t="s">
        <v>2416</v>
      </c>
      <c r="H131" s="11">
        <v>45836</v>
      </c>
      <c r="I131" s="1" t="str">
        <f t="shared" ref="I131:I194" ca="1" si="4">IF(H131-$G$1&lt;=0,"●","")</f>
        <v/>
      </c>
      <c r="J131" s="1">
        <f t="shared" ref="J131:J194" si="5">ROW()-2</f>
        <v>129</v>
      </c>
    </row>
    <row r="132" spans="2:10">
      <c r="B132" s="1">
        <v>6</v>
      </c>
      <c r="C132" s="13"/>
      <c r="D132" s="5" t="b">
        <v>1</v>
      </c>
      <c r="E132" s="6" t="s">
        <v>2417</v>
      </c>
      <c r="F132" s="1" t="s">
        <v>2418</v>
      </c>
      <c r="H132" s="11">
        <v>45836</v>
      </c>
      <c r="I132" s="1" t="str">
        <f t="shared" ca="1" si="4"/>
        <v/>
      </c>
      <c r="J132" s="1">
        <f t="shared" si="5"/>
        <v>130</v>
      </c>
    </row>
    <row r="133" spans="2:10">
      <c r="B133" s="1">
        <v>6</v>
      </c>
      <c r="C133" s="13"/>
      <c r="D133" s="5" t="b">
        <v>1</v>
      </c>
      <c r="E133" s="6" t="s">
        <v>2419</v>
      </c>
      <c r="F133" s="1" t="s">
        <v>2420</v>
      </c>
      <c r="H133" s="11">
        <v>45836</v>
      </c>
      <c r="I133" s="1" t="str">
        <f t="shared" ca="1" si="4"/>
        <v/>
      </c>
      <c r="J133" s="1">
        <f t="shared" si="5"/>
        <v>131</v>
      </c>
    </row>
    <row r="134" spans="2:10">
      <c r="B134" s="1">
        <v>6</v>
      </c>
      <c r="C134" s="13"/>
      <c r="D134" s="5" t="b">
        <v>1</v>
      </c>
      <c r="E134" s="6" t="s">
        <v>2421</v>
      </c>
      <c r="F134" s="1" t="s">
        <v>2422</v>
      </c>
      <c r="H134" s="11">
        <v>45836</v>
      </c>
      <c r="I134" s="1" t="str">
        <f t="shared" ca="1" si="4"/>
        <v/>
      </c>
      <c r="J134" s="1">
        <f t="shared" si="5"/>
        <v>132</v>
      </c>
    </row>
    <row r="135" spans="2:10">
      <c r="B135" s="1">
        <v>6</v>
      </c>
      <c r="C135" s="13"/>
      <c r="D135" s="5" t="b">
        <v>1</v>
      </c>
      <c r="E135" s="6" t="s">
        <v>2423</v>
      </c>
      <c r="F135" s="1" t="s">
        <v>2424</v>
      </c>
      <c r="H135" s="11">
        <v>45836</v>
      </c>
      <c r="I135" s="1" t="str">
        <f t="shared" ca="1" si="4"/>
        <v/>
      </c>
      <c r="J135" s="1">
        <f t="shared" si="5"/>
        <v>133</v>
      </c>
    </row>
    <row r="136" spans="2:10">
      <c r="B136" s="1">
        <v>6</v>
      </c>
      <c r="C136" s="13"/>
      <c r="D136" s="5" t="b">
        <v>1</v>
      </c>
      <c r="E136" s="6" t="s">
        <v>2425</v>
      </c>
      <c r="F136" s="1" t="s">
        <v>2426</v>
      </c>
      <c r="H136" s="11">
        <v>45836</v>
      </c>
      <c r="I136" s="1" t="str">
        <f t="shared" ca="1" si="4"/>
        <v/>
      </c>
      <c r="J136" s="1">
        <f t="shared" si="5"/>
        <v>134</v>
      </c>
    </row>
    <row r="137" spans="2:10">
      <c r="B137" s="1">
        <v>6</v>
      </c>
      <c r="C137" s="13"/>
      <c r="D137" s="5" t="b">
        <v>1</v>
      </c>
      <c r="E137" s="6" t="s">
        <v>2427</v>
      </c>
      <c r="F137" s="1" t="s">
        <v>2428</v>
      </c>
      <c r="H137" s="11">
        <v>45836</v>
      </c>
      <c r="I137" s="1" t="str">
        <f t="shared" ca="1" si="4"/>
        <v/>
      </c>
      <c r="J137" s="1">
        <f t="shared" si="5"/>
        <v>135</v>
      </c>
    </row>
    <row r="138" spans="2:10">
      <c r="B138" s="1">
        <v>6</v>
      </c>
      <c r="C138" s="13"/>
      <c r="D138" s="5" t="b">
        <v>1</v>
      </c>
      <c r="E138" s="6" t="s">
        <v>2429</v>
      </c>
      <c r="F138" s="1" t="s">
        <v>2430</v>
      </c>
      <c r="H138" s="11">
        <v>45836</v>
      </c>
      <c r="I138" s="1" t="str">
        <f t="shared" ca="1" si="4"/>
        <v/>
      </c>
      <c r="J138" s="1">
        <f t="shared" si="5"/>
        <v>136</v>
      </c>
    </row>
    <row r="139" spans="2:10">
      <c r="B139" s="1">
        <v>6</v>
      </c>
      <c r="C139" s="13"/>
      <c r="D139" s="5" t="b">
        <v>1</v>
      </c>
      <c r="E139" s="6" t="s">
        <v>2431</v>
      </c>
      <c r="F139" s="1" t="s">
        <v>2432</v>
      </c>
      <c r="H139" s="11">
        <v>45836</v>
      </c>
      <c r="I139" s="1" t="str">
        <f t="shared" ca="1" si="4"/>
        <v/>
      </c>
      <c r="J139" s="1">
        <f t="shared" si="5"/>
        <v>137</v>
      </c>
    </row>
    <row r="140" spans="2:10">
      <c r="B140" s="1">
        <v>6</v>
      </c>
      <c r="C140" s="13"/>
      <c r="D140" s="5" t="b">
        <v>1</v>
      </c>
      <c r="E140" s="6" t="s">
        <v>2433</v>
      </c>
      <c r="F140" s="1" t="s">
        <v>2434</v>
      </c>
      <c r="H140" s="11">
        <v>45836</v>
      </c>
      <c r="I140" s="1" t="str">
        <f t="shared" ca="1" si="4"/>
        <v/>
      </c>
      <c r="J140" s="1">
        <f t="shared" si="5"/>
        <v>138</v>
      </c>
    </row>
    <row r="141" spans="2:10">
      <c r="B141" s="1">
        <v>6</v>
      </c>
      <c r="C141" s="13"/>
      <c r="D141" s="5" t="b">
        <v>1</v>
      </c>
      <c r="E141" s="6" t="s">
        <v>2435</v>
      </c>
      <c r="F141" s="1" t="s">
        <v>2436</v>
      </c>
      <c r="H141" s="11">
        <v>45836</v>
      </c>
      <c r="I141" s="1" t="str">
        <f t="shared" ca="1" si="4"/>
        <v/>
      </c>
      <c r="J141" s="1">
        <f t="shared" si="5"/>
        <v>139</v>
      </c>
    </row>
    <row r="142" spans="2:10">
      <c r="B142" s="1">
        <v>6</v>
      </c>
      <c r="C142" s="13"/>
      <c r="D142" s="5" t="b">
        <v>1</v>
      </c>
      <c r="E142" s="6" t="s">
        <v>2437</v>
      </c>
      <c r="F142" s="1" t="s">
        <v>2438</v>
      </c>
      <c r="H142" s="11">
        <v>45836</v>
      </c>
      <c r="I142" s="1" t="str">
        <f t="shared" ca="1" si="4"/>
        <v/>
      </c>
      <c r="J142" s="1">
        <f t="shared" si="5"/>
        <v>140</v>
      </c>
    </row>
    <row r="143" spans="2:10">
      <c r="B143" s="1">
        <v>6</v>
      </c>
      <c r="C143" s="13"/>
      <c r="D143" s="5" t="b">
        <v>1</v>
      </c>
      <c r="E143" s="6" t="s">
        <v>2439</v>
      </c>
      <c r="F143" s="1" t="s">
        <v>2440</v>
      </c>
      <c r="H143" s="11">
        <v>45836</v>
      </c>
      <c r="I143" s="1" t="str">
        <f t="shared" ca="1" si="4"/>
        <v/>
      </c>
      <c r="J143" s="1">
        <f t="shared" si="5"/>
        <v>141</v>
      </c>
    </row>
    <row r="144" spans="2:10">
      <c r="B144" s="1">
        <v>6</v>
      </c>
      <c r="C144" s="13"/>
      <c r="D144" s="5" t="b">
        <v>1</v>
      </c>
      <c r="E144" s="6" t="s">
        <v>2441</v>
      </c>
      <c r="F144" s="1" t="s">
        <v>2442</v>
      </c>
      <c r="H144" s="11">
        <v>45836</v>
      </c>
      <c r="I144" s="1" t="str">
        <f t="shared" ca="1" si="4"/>
        <v/>
      </c>
      <c r="J144" s="1">
        <f t="shared" si="5"/>
        <v>142</v>
      </c>
    </row>
    <row r="145" spans="2:10">
      <c r="B145" s="1">
        <v>6</v>
      </c>
      <c r="C145" s="13"/>
      <c r="D145" s="5" t="b">
        <v>1</v>
      </c>
      <c r="E145" s="6" t="s">
        <v>2443</v>
      </c>
      <c r="F145" s="1" t="s">
        <v>2444</v>
      </c>
      <c r="H145" s="11">
        <v>45836</v>
      </c>
      <c r="I145" s="1" t="str">
        <f t="shared" ca="1" si="4"/>
        <v/>
      </c>
      <c r="J145" s="1">
        <f t="shared" si="5"/>
        <v>143</v>
      </c>
    </row>
    <row r="146" spans="2:10">
      <c r="B146" s="1">
        <v>6</v>
      </c>
      <c r="C146" s="13"/>
      <c r="D146" s="5" t="b">
        <v>1</v>
      </c>
      <c r="E146" s="6" t="s">
        <v>2445</v>
      </c>
      <c r="F146" s="1" t="s">
        <v>2446</v>
      </c>
      <c r="H146" s="11">
        <v>45836</v>
      </c>
      <c r="I146" s="1" t="str">
        <f t="shared" ca="1" si="4"/>
        <v/>
      </c>
      <c r="J146" s="1">
        <f t="shared" si="5"/>
        <v>144</v>
      </c>
    </row>
    <row r="147" spans="2:10">
      <c r="B147" s="1">
        <v>6</v>
      </c>
      <c r="C147" s="13"/>
      <c r="D147" s="5" t="b">
        <v>1</v>
      </c>
      <c r="E147" s="6" t="s">
        <v>2447</v>
      </c>
      <c r="F147" s="1" t="s">
        <v>2448</v>
      </c>
      <c r="H147" s="11">
        <v>45836</v>
      </c>
      <c r="I147" s="1" t="str">
        <f t="shared" ca="1" si="4"/>
        <v/>
      </c>
      <c r="J147" s="1">
        <f t="shared" si="5"/>
        <v>145</v>
      </c>
    </row>
    <row r="148" spans="2:10">
      <c r="B148" s="1">
        <v>6</v>
      </c>
      <c r="C148" s="13"/>
      <c r="D148" s="5" t="b">
        <v>1</v>
      </c>
      <c r="E148" s="6" t="s">
        <v>2449</v>
      </c>
      <c r="F148" s="1" t="s">
        <v>2450</v>
      </c>
      <c r="H148" s="11">
        <v>45836</v>
      </c>
      <c r="I148" s="1" t="str">
        <f t="shared" ca="1" si="4"/>
        <v/>
      </c>
      <c r="J148" s="1">
        <f t="shared" si="5"/>
        <v>146</v>
      </c>
    </row>
    <row r="149" spans="2:10">
      <c r="B149" s="1">
        <v>6</v>
      </c>
      <c r="C149" s="13"/>
      <c r="D149" s="5" t="b">
        <v>1</v>
      </c>
      <c r="E149" s="6" t="s">
        <v>2451</v>
      </c>
      <c r="F149" s="1" t="s">
        <v>2452</v>
      </c>
      <c r="H149" s="11">
        <v>45836</v>
      </c>
      <c r="I149" s="1" t="str">
        <f t="shared" ca="1" si="4"/>
        <v/>
      </c>
      <c r="J149" s="1">
        <f t="shared" si="5"/>
        <v>147</v>
      </c>
    </row>
    <row r="150" spans="2:10">
      <c r="B150" s="1">
        <v>6</v>
      </c>
      <c r="C150" s="13"/>
      <c r="D150" s="5" t="b">
        <v>1</v>
      </c>
      <c r="E150" s="6" t="s">
        <v>2453</v>
      </c>
      <c r="F150" s="1" t="s">
        <v>2454</v>
      </c>
      <c r="H150" s="11">
        <v>45836</v>
      </c>
      <c r="I150" s="1" t="str">
        <f t="shared" ca="1" si="4"/>
        <v/>
      </c>
      <c r="J150" s="1">
        <f t="shared" si="5"/>
        <v>148</v>
      </c>
    </row>
    <row r="151" spans="2:10">
      <c r="B151" s="1">
        <v>6</v>
      </c>
      <c r="C151" s="13"/>
      <c r="D151" s="5" t="b">
        <v>1</v>
      </c>
      <c r="E151" s="6" t="s">
        <v>2455</v>
      </c>
      <c r="F151" s="1" t="s">
        <v>2456</v>
      </c>
      <c r="H151" s="11">
        <v>45836</v>
      </c>
      <c r="I151" s="1" t="str">
        <f t="shared" ca="1" si="4"/>
        <v/>
      </c>
      <c r="J151" s="1">
        <f t="shared" si="5"/>
        <v>149</v>
      </c>
    </row>
    <row r="152" spans="2:10">
      <c r="B152" s="1">
        <v>6</v>
      </c>
      <c r="C152" s="13"/>
      <c r="D152" s="5" t="b">
        <v>1</v>
      </c>
      <c r="E152" s="14" t="s">
        <v>2457</v>
      </c>
      <c r="F152" s="1" t="s">
        <v>2458</v>
      </c>
      <c r="H152" s="11">
        <v>45836</v>
      </c>
      <c r="I152" s="1" t="str">
        <f t="shared" ca="1" si="4"/>
        <v/>
      </c>
      <c r="J152" s="1">
        <f t="shared" si="5"/>
        <v>150</v>
      </c>
    </row>
    <row r="153" spans="2:10">
      <c r="B153" s="1">
        <v>6</v>
      </c>
      <c r="C153" s="13"/>
      <c r="D153" s="5" t="b">
        <v>1</v>
      </c>
      <c r="E153" s="6" t="s">
        <v>2459</v>
      </c>
      <c r="F153" s="1" t="s">
        <v>2460</v>
      </c>
      <c r="H153" s="11">
        <v>45836</v>
      </c>
      <c r="I153" s="1" t="str">
        <f t="shared" ca="1" si="4"/>
        <v/>
      </c>
      <c r="J153" s="1">
        <f t="shared" si="5"/>
        <v>151</v>
      </c>
    </row>
    <row r="154" spans="2:10">
      <c r="B154" s="1">
        <v>6</v>
      </c>
      <c r="C154" s="13"/>
      <c r="D154" s="5" t="b">
        <v>1</v>
      </c>
      <c r="E154" s="6" t="s">
        <v>2461</v>
      </c>
      <c r="F154" s="1" t="s">
        <v>2462</v>
      </c>
      <c r="H154" s="11">
        <v>45836</v>
      </c>
      <c r="I154" s="1" t="str">
        <f t="shared" ca="1" si="4"/>
        <v/>
      </c>
      <c r="J154" s="1">
        <f t="shared" si="5"/>
        <v>152</v>
      </c>
    </row>
    <row r="155" spans="2:10">
      <c r="B155" s="1">
        <v>6</v>
      </c>
      <c r="C155" s="13"/>
      <c r="D155" s="5" t="b">
        <v>1</v>
      </c>
      <c r="E155" s="6" t="s">
        <v>2463</v>
      </c>
      <c r="F155" s="1" t="s">
        <v>2464</v>
      </c>
      <c r="H155" s="11">
        <v>45836</v>
      </c>
      <c r="I155" s="1" t="str">
        <f t="shared" ca="1" si="4"/>
        <v/>
      </c>
      <c r="J155" s="1">
        <f t="shared" si="5"/>
        <v>153</v>
      </c>
    </row>
    <row r="156" spans="2:10">
      <c r="B156" s="1">
        <v>5</v>
      </c>
      <c r="C156" s="13"/>
      <c r="D156" s="5" t="b">
        <v>1</v>
      </c>
      <c r="E156" s="6" t="s">
        <v>2465</v>
      </c>
      <c r="F156" s="13" t="s">
        <v>2466</v>
      </c>
      <c r="H156" s="11">
        <v>45748</v>
      </c>
      <c r="I156" s="1" t="str">
        <f t="shared" ca="1" si="4"/>
        <v/>
      </c>
      <c r="J156" s="1">
        <f t="shared" si="5"/>
        <v>154</v>
      </c>
    </row>
    <row r="157" spans="2:10">
      <c r="B157" s="1">
        <v>5</v>
      </c>
      <c r="C157" s="13"/>
      <c r="D157" s="5" t="b">
        <v>1</v>
      </c>
      <c r="E157" s="6" t="s">
        <v>2467</v>
      </c>
      <c r="F157" s="13" t="s">
        <v>2468</v>
      </c>
      <c r="H157" s="11">
        <v>45748</v>
      </c>
      <c r="I157" s="1" t="str">
        <f t="shared" ca="1" si="4"/>
        <v/>
      </c>
      <c r="J157" s="1">
        <f t="shared" si="5"/>
        <v>155</v>
      </c>
    </row>
    <row r="158" spans="2:10">
      <c r="B158" s="1">
        <v>5</v>
      </c>
      <c r="C158" s="13"/>
      <c r="D158" s="5" t="b">
        <v>1</v>
      </c>
      <c r="E158" s="6" t="s">
        <v>2469</v>
      </c>
      <c r="F158" s="1" t="s">
        <v>2470</v>
      </c>
      <c r="H158" s="11">
        <v>45748</v>
      </c>
      <c r="I158" s="1" t="str">
        <f t="shared" ca="1" si="4"/>
        <v/>
      </c>
      <c r="J158" s="1">
        <f t="shared" si="5"/>
        <v>156</v>
      </c>
    </row>
    <row r="159" spans="2:10">
      <c r="B159" s="1">
        <v>5</v>
      </c>
      <c r="C159" s="13"/>
      <c r="D159" s="5" t="b">
        <v>1</v>
      </c>
      <c r="E159" s="6" t="s">
        <v>2471</v>
      </c>
      <c r="F159" s="13" t="s">
        <v>2472</v>
      </c>
      <c r="G159" s="43"/>
      <c r="H159" s="11">
        <v>45748</v>
      </c>
      <c r="I159" s="1" t="str">
        <f t="shared" ca="1" si="4"/>
        <v/>
      </c>
      <c r="J159" s="1">
        <f t="shared" si="5"/>
        <v>157</v>
      </c>
    </row>
    <row r="160" spans="2:10">
      <c r="B160" s="1">
        <v>5</v>
      </c>
      <c r="C160" s="13"/>
      <c r="D160" s="5" t="b">
        <v>1</v>
      </c>
      <c r="E160" s="6" t="s">
        <v>2473</v>
      </c>
      <c r="F160" s="13" t="s">
        <v>2474</v>
      </c>
      <c r="G160" s="43"/>
      <c r="H160" s="11">
        <v>45748</v>
      </c>
      <c r="I160" s="1" t="str">
        <f t="shared" ca="1" si="4"/>
        <v/>
      </c>
      <c r="J160" s="1">
        <f t="shared" si="5"/>
        <v>158</v>
      </c>
    </row>
    <row r="161" spans="2:10">
      <c r="B161" s="1">
        <v>5</v>
      </c>
      <c r="C161" s="13"/>
      <c r="D161" s="5" t="b">
        <v>1</v>
      </c>
      <c r="E161" s="6" t="s">
        <v>2475</v>
      </c>
      <c r="F161" s="1" t="s">
        <v>2476</v>
      </c>
      <c r="H161" s="11">
        <v>45748</v>
      </c>
      <c r="I161" s="1" t="str">
        <f t="shared" ca="1" si="4"/>
        <v/>
      </c>
      <c r="J161" s="1">
        <f t="shared" si="5"/>
        <v>159</v>
      </c>
    </row>
    <row r="162" spans="2:10">
      <c r="B162" s="1">
        <v>5</v>
      </c>
      <c r="C162" s="13"/>
      <c r="D162" s="5" t="b">
        <v>1</v>
      </c>
      <c r="E162" s="6" t="s">
        <v>2477</v>
      </c>
      <c r="F162" s="13" t="s">
        <v>2478</v>
      </c>
      <c r="H162" s="11">
        <v>45748</v>
      </c>
      <c r="I162" s="1" t="str">
        <f t="shared" ca="1" si="4"/>
        <v/>
      </c>
      <c r="J162" s="1">
        <f t="shared" si="5"/>
        <v>160</v>
      </c>
    </row>
    <row r="163" spans="2:10">
      <c r="B163" s="1">
        <v>5</v>
      </c>
      <c r="C163" s="13"/>
      <c r="D163" s="5" t="b">
        <v>1</v>
      </c>
      <c r="E163" s="6" t="s">
        <v>2479</v>
      </c>
      <c r="F163" s="13" t="s">
        <v>2480</v>
      </c>
      <c r="H163" s="11">
        <v>45753</v>
      </c>
      <c r="I163" s="1" t="str">
        <f t="shared" ca="1" si="4"/>
        <v/>
      </c>
      <c r="J163" s="1">
        <f t="shared" si="5"/>
        <v>161</v>
      </c>
    </row>
    <row r="164" spans="2:10">
      <c r="B164" s="1">
        <v>5</v>
      </c>
      <c r="C164" s="13"/>
      <c r="D164" s="5" t="b">
        <v>1</v>
      </c>
      <c r="E164" s="6" t="s">
        <v>2481</v>
      </c>
      <c r="F164" s="1" t="s">
        <v>2482</v>
      </c>
      <c r="H164" s="11">
        <v>45753</v>
      </c>
      <c r="I164" s="1" t="str">
        <f t="shared" ca="1" si="4"/>
        <v/>
      </c>
      <c r="J164" s="1">
        <f t="shared" si="5"/>
        <v>162</v>
      </c>
    </row>
    <row r="165" spans="2:10">
      <c r="B165" s="1">
        <v>5</v>
      </c>
      <c r="C165" s="13"/>
      <c r="D165" s="5" t="b">
        <v>1</v>
      </c>
      <c r="E165" s="6" t="s">
        <v>2483</v>
      </c>
      <c r="F165" s="1" t="s">
        <v>2484</v>
      </c>
      <c r="H165" s="11">
        <v>45753</v>
      </c>
      <c r="I165" s="1" t="str">
        <f t="shared" ca="1" si="4"/>
        <v/>
      </c>
      <c r="J165" s="1">
        <f t="shared" si="5"/>
        <v>163</v>
      </c>
    </row>
    <row r="166" spans="2:10">
      <c r="B166" s="1">
        <v>5</v>
      </c>
      <c r="C166" s="13"/>
      <c r="D166" s="5" t="b">
        <v>1</v>
      </c>
      <c r="E166" s="6" t="s">
        <v>2485</v>
      </c>
      <c r="F166" s="1" t="s">
        <v>2486</v>
      </c>
      <c r="H166" s="11">
        <v>45753</v>
      </c>
      <c r="I166" s="1" t="str">
        <f t="shared" ca="1" si="4"/>
        <v/>
      </c>
      <c r="J166" s="1">
        <f t="shared" si="5"/>
        <v>164</v>
      </c>
    </row>
    <row r="167" spans="2:10">
      <c r="B167" s="1">
        <v>5</v>
      </c>
      <c r="C167" s="13"/>
      <c r="D167" s="5" t="b">
        <v>1</v>
      </c>
      <c r="E167" s="6" t="s">
        <v>2487</v>
      </c>
      <c r="F167" s="1" t="s">
        <v>2488</v>
      </c>
      <c r="H167" s="11">
        <v>45759</v>
      </c>
      <c r="I167" s="1" t="str">
        <f t="shared" ca="1" si="4"/>
        <v/>
      </c>
      <c r="J167" s="1">
        <f t="shared" si="5"/>
        <v>165</v>
      </c>
    </row>
    <row r="168" spans="2:10">
      <c r="B168" s="1">
        <v>5</v>
      </c>
      <c r="C168" s="13"/>
      <c r="D168" s="5" t="b">
        <v>1</v>
      </c>
      <c r="E168" s="6" t="s">
        <v>2489</v>
      </c>
      <c r="F168" s="1" t="s">
        <v>2490</v>
      </c>
      <c r="H168" s="11">
        <v>45759</v>
      </c>
      <c r="I168" s="1" t="str">
        <f t="shared" ca="1" si="4"/>
        <v/>
      </c>
      <c r="J168" s="1">
        <f t="shared" si="5"/>
        <v>166</v>
      </c>
    </row>
    <row r="169" spans="2:10">
      <c r="B169" s="1">
        <v>5</v>
      </c>
      <c r="C169" s="13"/>
      <c r="D169" s="5" t="b">
        <v>1</v>
      </c>
      <c r="E169" s="6" t="s">
        <v>2491</v>
      </c>
      <c r="F169" s="1" t="s">
        <v>2492</v>
      </c>
      <c r="H169" s="11">
        <v>45759</v>
      </c>
      <c r="I169" s="1" t="str">
        <f t="shared" ca="1" si="4"/>
        <v/>
      </c>
      <c r="J169" s="1">
        <f t="shared" si="5"/>
        <v>167</v>
      </c>
    </row>
    <row r="170" spans="2:10">
      <c r="B170" s="1">
        <v>5</v>
      </c>
      <c r="C170" s="13"/>
      <c r="D170" s="5" t="b">
        <v>1</v>
      </c>
      <c r="E170" s="6" t="s">
        <v>2493</v>
      </c>
      <c r="F170" s="1" t="s">
        <v>2494</v>
      </c>
      <c r="H170" s="11">
        <v>45759</v>
      </c>
      <c r="I170" s="1" t="str">
        <f t="shared" ca="1" si="4"/>
        <v/>
      </c>
      <c r="J170" s="1">
        <f t="shared" si="5"/>
        <v>168</v>
      </c>
    </row>
    <row r="171" spans="2:10">
      <c r="B171" s="1">
        <v>5</v>
      </c>
      <c r="C171" s="13"/>
      <c r="D171" s="5" t="b">
        <v>1</v>
      </c>
      <c r="E171" s="6" t="s">
        <v>2495</v>
      </c>
      <c r="F171" s="1" t="s">
        <v>2496</v>
      </c>
      <c r="H171" s="11">
        <v>45759</v>
      </c>
      <c r="I171" s="1" t="str">
        <f t="shared" ca="1" si="4"/>
        <v/>
      </c>
      <c r="J171" s="1">
        <f t="shared" si="5"/>
        <v>169</v>
      </c>
    </row>
    <row r="172" spans="2:10">
      <c r="B172" s="1">
        <v>5</v>
      </c>
      <c r="C172" s="13"/>
      <c r="D172" s="5" t="b">
        <v>1</v>
      </c>
      <c r="E172" s="6" t="s">
        <v>2497</v>
      </c>
      <c r="F172" s="1" t="s">
        <v>2498</v>
      </c>
      <c r="H172" s="11">
        <v>45759</v>
      </c>
      <c r="I172" s="1" t="str">
        <f t="shared" ca="1" si="4"/>
        <v/>
      </c>
      <c r="J172" s="1">
        <f t="shared" si="5"/>
        <v>170</v>
      </c>
    </row>
    <row r="173" spans="2:10">
      <c r="B173" s="1">
        <v>5</v>
      </c>
      <c r="C173" s="13"/>
      <c r="D173" s="5" t="b">
        <v>1</v>
      </c>
      <c r="E173" s="6" t="s">
        <v>2499</v>
      </c>
      <c r="F173" s="1" t="s">
        <v>2500</v>
      </c>
      <c r="H173" s="11">
        <v>45759</v>
      </c>
      <c r="I173" s="1" t="str">
        <f t="shared" ca="1" si="4"/>
        <v/>
      </c>
      <c r="J173" s="1">
        <f t="shared" si="5"/>
        <v>171</v>
      </c>
    </row>
    <row r="174" spans="2:10">
      <c r="B174" s="1">
        <v>5</v>
      </c>
      <c r="C174" s="13"/>
      <c r="D174" s="5" t="b">
        <v>1</v>
      </c>
      <c r="E174" s="6" t="s">
        <v>2501</v>
      </c>
      <c r="F174" s="1" t="s">
        <v>2502</v>
      </c>
      <c r="H174" s="11">
        <v>45759</v>
      </c>
      <c r="I174" s="1" t="str">
        <f t="shared" ca="1" si="4"/>
        <v/>
      </c>
      <c r="J174" s="1">
        <f t="shared" si="5"/>
        <v>172</v>
      </c>
    </row>
    <row r="175" spans="2:10">
      <c r="B175" s="1">
        <v>5</v>
      </c>
      <c r="C175" s="13"/>
      <c r="D175" s="5" t="b">
        <v>1</v>
      </c>
      <c r="E175" s="6" t="s">
        <v>2503</v>
      </c>
      <c r="F175" s="1" t="s">
        <v>2504</v>
      </c>
      <c r="H175" s="11">
        <v>45759</v>
      </c>
      <c r="I175" s="1" t="str">
        <f t="shared" ca="1" si="4"/>
        <v/>
      </c>
      <c r="J175" s="1">
        <f t="shared" si="5"/>
        <v>173</v>
      </c>
    </row>
    <row r="176" spans="2:10">
      <c r="B176" s="1">
        <v>5</v>
      </c>
      <c r="C176" s="13"/>
      <c r="D176" s="5" t="b">
        <v>1</v>
      </c>
      <c r="E176" s="6" t="s">
        <v>2505</v>
      </c>
      <c r="F176" s="1" t="s">
        <v>2506</v>
      </c>
      <c r="H176" s="11">
        <v>45759</v>
      </c>
      <c r="I176" s="1" t="str">
        <f t="shared" ca="1" si="4"/>
        <v/>
      </c>
      <c r="J176" s="1">
        <f t="shared" si="5"/>
        <v>174</v>
      </c>
    </row>
    <row r="177" spans="2:10">
      <c r="B177" s="1">
        <v>5</v>
      </c>
      <c r="C177" s="13"/>
      <c r="D177" s="5" t="b">
        <v>1</v>
      </c>
      <c r="E177" s="6" t="s">
        <v>2507</v>
      </c>
      <c r="F177" s="1" t="s">
        <v>2508</v>
      </c>
      <c r="H177" s="11">
        <v>45759</v>
      </c>
      <c r="I177" s="1" t="str">
        <f t="shared" ca="1" si="4"/>
        <v/>
      </c>
      <c r="J177" s="1">
        <f t="shared" si="5"/>
        <v>175</v>
      </c>
    </row>
    <row r="178" spans="2:10">
      <c r="B178" s="1">
        <v>5</v>
      </c>
      <c r="C178" s="13"/>
      <c r="D178" s="5" t="b">
        <v>1</v>
      </c>
      <c r="E178" s="6" t="s">
        <v>2509</v>
      </c>
      <c r="F178" s="1" t="s">
        <v>2510</v>
      </c>
      <c r="H178" s="11">
        <v>45759</v>
      </c>
      <c r="I178" s="1" t="str">
        <f t="shared" ca="1" si="4"/>
        <v/>
      </c>
      <c r="J178" s="1">
        <f t="shared" si="5"/>
        <v>176</v>
      </c>
    </row>
    <row r="179" spans="2:10">
      <c r="B179" s="1">
        <v>5</v>
      </c>
      <c r="C179" s="13"/>
      <c r="D179" s="5" t="b">
        <v>1</v>
      </c>
      <c r="E179" s="6" t="s">
        <v>2511</v>
      </c>
      <c r="F179" s="1" t="s">
        <v>2512</v>
      </c>
      <c r="H179" s="11">
        <v>45759</v>
      </c>
      <c r="I179" s="1" t="str">
        <f t="shared" ca="1" si="4"/>
        <v/>
      </c>
      <c r="J179" s="1">
        <f t="shared" si="5"/>
        <v>177</v>
      </c>
    </row>
    <row r="180" spans="2:10">
      <c r="B180" s="1">
        <v>5</v>
      </c>
      <c r="C180" s="13"/>
      <c r="D180" s="5" t="b">
        <v>1</v>
      </c>
      <c r="E180" s="6" t="s">
        <v>2513</v>
      </c>
      <c r="F180" s="1" t="s">
        <v>2514</v>
      </c>
      <c r="H180" s="11">
        <v>45759</v>
      </c>
      <c r="I180" s="1" t="str">
        <f t="shared" ca="1" si="4"/>
        <v/>
      </c>
      <c r="J180" s="1">
        <f t="shared" si="5"/>
        <v>178</v>
      </c>
    </row>
    <row r="181" spans="2:10">
      <c r="B181" s="1">
        <v>5</v>
      </c>
      <c r="C181" s="13"/>
      <c r="D181" s="5" t="b">
        <v>1</v>
      </c>
      <c r="E181" s="6" t="s">
        <v>2515</v>
      </c>
      <c r="F181" s="1" t="s">
        <v>2516</v>
      </c>
      <c r="H181" s="11">
        <v>45759</v>
      </c>
      <c r="I181" s="1" t="str">
        <f t="shared" ca="1" si="4"/>
        <v/>
      </c>
      <c r="J181" s="1">
        <f t="shared" si="5"/>
        <v>179</v>
      </c>
    </row>
    <row r="182" spans="2:10">
      <c r="B182" s="1">
        <v>5</v>
      </c>
      <c r="C182" s="13"/>
      <c r="D182" s="5" t="b">
        <v>1</v>
      </c>
      <c r="E182" s="6" t="s">
        <v>2517</v>
      </c>
      <c r="F182" s="1" t="s">
        <v>2518</v>
      </c>
      <c r="H182" s="11">
        <v>45759</v>
      </c>
      <c r="I182" s="1" t="str">
        <f t="shared" ca="1" si="4"/>
        <v/>
      </c>
      <c r="J182" s="1">
        <f t="shared" si="5"/>
        <v>180</v>
      </c>
    </row>
    <row r="183" spans="2:10">
      <c r="B183" s="1">
        <v>5</v>
      </c>
      <c r="C183" s="13"/>
      <c r="D183" s="5" t="b">
        <v>1</v>
      </c>
      <c r="E183" s="6" t="s">
        <v>2519</v>
      </c>
      <c r="F183" s="13" t="s">
        <v>2520</v>
      </c>
      <c r="H183" s="11">
        <v>45759</v>
      </c>
      <c r="I183" s="1" t="str">
        <f t="shared" ca="1" si="4"/>
        <v/>
      </c>
      <c r="J183" s="1">
        <f t="shared" si="5"/>
        <v>181</v>
      </c>
    </row>
    <row r="184" spans="2:10">
      <c r="B184" s="1">
        <v>5</v>
      </c>
      <c r="C184" s="13"/>
      <c r="D184" s="5" t="b">
        <v>1</v>
      </c>
      <c r="E184" s="6" t="s">
        <v>2521</v>
      </c>
      <c r="F184" s="1" t="s">
        <v>2522</v>
      </c>
      <c r="H184" s="11">
        <v>45759</v>
      </c>
      <c r="I184" s="1" t="str">
        <f t="shared" ca="1" si="4"/>
        <v/>
      </c>
      <c r="J184" s="1">
        <f t="shared" si="5"/>
        <v>182</v>
      </c>
    </row>
    <row r="185" spans="2:10">
      <c r="B185" s="1">
        <v>5</v>
      </c>
      <c r="C185" s="13"/>
      <c r="D185" s="5" t="b">
        <v>1</v>
      </c>
      <c r="E185" s="6" t="s">
        <v>2523</v>
      </c>
      <c r="F185" s="1" t="s">
        <v>2524</v>
      </c>
      <c r="H185" s="11">
        <v>45759</v>
      </c>
      <c r="I185" s="1" t="str">
        <f t="shared" ca="1" si="4"/>
        <v/>
      </c>
      <c r="J185" s="1">
        <f t="shared" si="5"/>
        <v>183</v>
      </c>
    </row>
    <row r="186" spans="2:10">
      <c r="B186" s="1">
        <v>5</v>
      </c>
      <c r="C186" s="13"/>
      <c r="D186" s="5" t="b">
        <v>1</v>
      </c>
      <c r="E186" s="6" t="s">
        <v>2525</v>
      </c>
      <c r="F186" s="1" t="s">
        <v>2526</v>
      </c>
      <c r="H186" s="11">
        <v>45759</v>
      </c>
      <c r="I186" s="1" t="str">
        <f t="shared" ca="1" si="4"/>
        <v/>
      </c>
      <c r="J186" s="1">
        <f t="shared" si="5"/>
        <v>184</v>
      </c>
    </row>
    <row r="187" spans="2:10">
      <c r="B187" s="1">
        <v>5</v>
      </c>
      <c r="C187" s="13"/>
      <c r="D187" s="5" t="b">
        <v>1</v>
      </c>
      <c r="E187" s="6" t="s">
        <v>2527</v>
      </c>
      <c r="F187" s="1" t="s">
        <v>2528</v>
      </c>
      <c r="H187" s="11">
        <v>45759</v>
      </c>
      <c r="I187" s="1" t="str">
        <f t="shared" ca="1" si="4"/>
        <v/>
      </c>
      <c r="J187" s="1">
        <f t="shared" si="5"/>
        <v>185</v>
      </c>
    </row>
    <row r="188" spans="2:10">
      <c r="B188" s="1">
        <v>5</v>
      </c>
      <c r="C188" s="13"/>
      <c r="D188" s="5" t="b">
        <v>1</v>
      </c>
      <c r="E188" s="6" t="s">
        <v>2529</v>
      </c>
      <c r="F188" s="1" t="s">
        <v>2530</v>
      </c>
      <c r="H188" s="11">
        <v>45759</v>
      </c>
      <c r="I188" s="1" t="str">
        <f t="shared" ca="1" si="4"/>
        <v/>
      </c>
      <c r="J188" s="1">
        <f t="shared" si="5"/>
        <v>186</v>
      </c>
    </row>
    <row r="189" spans="2:10">
      <c r="B189" s="1">
        <v>5</v>
      </c>
      <c r="C189" s="13"/>
      <c r="D189" s="5" t="b">
        <v>1</v>
      </c>
      <c r="E189" s="6" t="s">
        <v>2531</v>
      </c>
      <c r="F189" s="1" t="s">
        <v>2532</v>
      </c>
      <c r="H189" s="11">
        <v>45759</v>
      </c>
      <c r="I189" s="1" t="str">
        <f t="shared" ca="1" si="4"/>
        <v/>
      </c>
      <c r="J189" s="1">
        <f t="shared" si="5"/>
        <v>187</v>
      </c>
    </row>
    <row r="190" spans="2:10">
      <c r="B190" s="1">
        <v>5</v>
      </c>
      <c r="C190" s="13"/>
      <c r="D190" s="1" t="b">
        <v>1</v>
      </c>
      <c r="E190" s="14" t="s">
        <v>2533</v>
      </c>
      <c r="F190" s="1" t="s">
        <v>2534</v>
      </c>
      <c r="H190" s="11">
        <v>45759</v>
      </c>
      <c r="I190" s="1" t="str">
        <f t="shared" ca="1" si="4"/>
        <v/>
      </c>
      <c r="J190" s="1">
        <f t="shared" si="5"/>
        <v>188</v>
      </c>
    </row>
    <row r="191" spans="2:10">
      <c r="B191" s="5">
        <v>5</v>
      </c>
      <c r="C191" s="12"/>
      <c r="D191" s="5" t="b">
        <v>1</v>
      </c>
      <c r="E191" s="6" t="s">
        <v>2535</v>
      </c>
      <c r="F191" s="5" t="s">
        <v>2536</v>
      </c>
      <c r="G191" s="46"/>
      <c r="H191" s="11">
        <v>45775</v>
      </c>
      <c r="I191" s="1" t="str">
        <f t="shared" ca="1" si="4"/>
        <v/>
      </c>
      <c r="J191" s="1">
        <f t="shared" si="5"/>
        <v>189</v>
      </c>
    </row>
    <row r="192" spans="2:10">
      <c r="B192" s="1">
        <v>5</v>
      </c>
      <c r="C192" s="13"/>
      <c r="D192" s="5" t="b">
        <v>1</v>
      </c>
      <c r="E192" s="6" t="s">
        <v>2537</v>
      </c>
      <c r="F192" s="1" t="s">
        <v>2538</v>
      </c>
      <c r="H192" s="11">
        <v>45775</v>
      </c>
      <c r="I192" s="1" t="str">
        <f t="shared" ca="1" si="4"/>
        <v/>
      </c>
      <c r="J192" s="1">
        <f t="shared" si="5"/>
        <v>190</v>
      </c>
    </row>
    <row r="193" spans="2:10">
      <c r="B193" s="1">
        <v>5</v>
      </c>
      <c r="C193" s="13"/>
      <c r="D193" s="5" t="b">
        <v>1</v>
      </c>
      <c r="E193" s="6" t="s">
        <v>2539</v>
      </c>
      <c r="F193" s="1" t="s">
        <v>2540</v>
      </c>
      <c r="H193" s="11">
        <v>45775</v>
      </c>
      <c r="I193" s="1" t="str">
        <f t="shared" ca="1" si="4"/>
        <v/>
      </c>
      <c r="J193" s="1">
        <f t="shared" si="5"/>
        <v>191</v>
      </c>
    </row>
    <row r="194" spans="2:10">
      <c r="B194" s="1">
        <v>5</v>
      </c>
      <c r="C194" s="13"/>
      <c r="D194" s="5" t="b">
        <v>1</v>
      </c>
      <c r="E194" s="6" t="s">
        <v>2541</v>
      </c>
      <c r="F194" s="13" t="s">
        <v>2542</v>
      </c>
      <c r="H194" s="11">
        <v>45766</v>
      </c>
      <c r="I194" s="1" t="str">
        <f t="shared" ca="1" si="4"/>
        <v/>
      </c>
      <c r="J194" s="1">
        <f t="shared" si="5"/>
        <v>192</v>
      </c>
    </row>
    <row r="195" spans="2:10">
      <c r="B195" s="1">
        <v>5</v>
      </c>
      <c r="C195" s="13"/>
      <c r="D195" s="5" t="b">
        <v>1</v>
      </c>
      <c r="E195" s="6" t="s">
        <v>2543</v>
      </c>
      <c r="F195" s="1" t="s">
        <v>2544</v>
      </c>
      <c r="H195" s="11">
        <v>45766</v>
      </c>
      <c r="I195" s="1" t="str">
        <f t="shared" ref="I195:I258" ca="1" si="6">IF(H195-$G$1&lt;=0,"●","")</f>
        <v/>
      </c>
      <c r="J195" s="1">
        <f t="shared" ref="J195:J258" si="7">ROW()-2</f>
        <v>193</v>
      </c>
    </row>
    <row r="196" spans="2:10">
      <c r="B196" s="1">
        <v>5</v>
      </c>
      <c r="C196" s="13"/>
      <c r="D196" s="5" t="b">
        <v>1</v>
      </c>
      <c r="E196" s="6" t="s">
        <v>2545</v>
      </c>
      <c r="F196" s="1" t="s">
        <v>2546</v>
      </c>
      <c r="H196" s="11">
        <v>45766</v>
      </c>
      <c r="I196" s="1" t="str">
        <f t="shared" ca="1" si="6"/>
        <v/>
      </c>
      <c r="J196" s="1">
        <f t="shared" si="7"/>
        <v>194</v>
      </c>
    </row>
    <row r="197" spans="2:10">
      <c r="B197" s="1">
        <v>5</v>
      </c>
      <c r="C197" s="13"/>
      <c r="D197" s="5" t="b">
        <v>1</v>
      </c>
      <c r="E197" s="6" t="s">
        <v>2547</v>
      </c>
      <c r="F197" s="1" t="s">
        <v>2548</v>
      </c>
      <c r="H197" s="11">
        <v>45775</v>
      </c>
      <c r="I197" s="1" t="str">
        <f t="shared" ca="1" si="6"/>
        <v/>
      </c>
      <c r="J197" s="1">
        <f t="shared" si="7"/>
        <v>195</v>
      </c>
    </row>
    <row r="198" spans="2:10">
      <c r="B198" s="1">
        <v>5</v>
      </c>
      <c r="C198" s="13"/>
      <c r="D198" s="5" t="b">
        <v>1</v>
      </c>
      <c r="E198" s="6" t="s">
        <v>2549</v>
      </c>
      <c r="F198" s="13" t="s">
        <v>2550</v>
      </c>
      <c r="G198" s="43"/>
      <c r="H198" s="11">
        <v>45775</v>
      </c>
      <c r="I198" s="1" t="str">
        <f t="shared" ca="1" si="6"/>
        <v/>
      </c>
      <c r="J198" s="1">
        <f t="shared" si="7"/>
        <v>196</v>
      </c>
    </row>
    <row r="199" spans="2:10">
      <c r="B199" s="1">
        <v>5</v>
      </c>
      <c r="C199" s="13"/>
      <c r="D199" s="5" t="b">
        <v>1</v>
      </c>
      <c r="E199" s="6" t="s">
        <v>2551</v>
      </c>
      <c r="F199" s="1" t="s">
        <v>2552</v>
      </c>
      <c r="H199" s="11">
        <v>45775</v>
      </c>
      <c r="I199" s="1" t="str">
        <f t="shared" ca="1" si="6"/>
        <v/>
      </c>
      <c r="J199" s="1">
        <f t="shared" si="7"/>
        <v>197</v>
      </c>
    </row>
    <row r="200" spans="2:10">
      <c r="B200" s="1">
        <v>5</v>
      </c>
      <c r="C200" s="13"/>
      <c r="D200" s="5" t="b">
        <v>1</v>
      </c>
      <c r="E200" s="6" t="s">
        <v>2553</v>
      </c>
      <c r="F200" s="1" t="s">
        <v>2554</v>
      </c>
      <c r="H200" s="11">
        <v>45775</v>
      </c>
      <c r="I200" s="1" t="str">
        <f t="shared" ca="1" si="6"/>
        <v/>
      </c>
      <c r="J200" s="1">
        <f t="shared" si="7"/>
        <v>198</v>
      </c>
    </row>
    <row r="201" spans="2:10">
      <c r="B201" s="1">
        <v>5</v>
      </c>
      <c r="C201" s="13"/>
      <c r="D201" s="5" t="b">
        <v>1</v>
      </c>
      <c r="E201" s="6" t="s">
        <v>2555</v>
      </c>
      <c r="F201" s="1" t="s">
        <v>2556</v>
      </c>
      <c r="H201" s="11">
        <v>45775</v>
      </c>
      <c r="I201" s="1" t="str">
        <f t="shared" ca="1" si="6"/>
        <v/>
      </c>
      <c r="J201" s="1">
        <f t="shared" si="7"/>
        <v>199</v>
      </c>
    </row>
    <row r="202" spans="2:10">
      <c r="B202" s="1">
        <v>5</v>
      </c>
      <c r="C202" s="13"/>
      <c r="D202" s="5" t="b">
        <v>1</v>
      </c>
      <c r="E202" s="6" t="s">
        <v>2557</v>
      </c>
      <c r="F202" s="1" t="s">
        <v>2558</v>
      </c>
      <c r="H202" s="11">
        <v>45775</v>
      </c>
      <c r="I202" s="1" t="str">
        <f t="shared" ca="1" si="6"/>
        <v/>
      </c>
      <c r="J202" s="1">
        <f t="shared" si="7"/>
        <v>200</v>
      </c>
    </row>
    <row r="203" spans="2:10">
      <c r="B203" s="1">
        <v>5</v>
      </c>
      <c r="C203" s="13"/>
      <c r="D203" s="5" t="b">
        <v>1</v>
      </c>
      <c r="E203" s="6" t="s">
        <v>2559</v>
      </c>
      <c r="F203" s="1" t="s">
        <v>2560</v>
      </c>
      <c r="H203" s="11">
        <v>45775</v>
      </c>
      <c r="I203" s="1" t="str">
        <f t="shared" ca="1" si="6"/>
        <v/>
      </c>
      <c r="J203" s="1">
        <f t="shared" si="7"/>
        <v>201</v>
      </c>
    </row>
    <row r="204" spans="2:10">
      <c r="B204" s="1">
        <v>5</v>
      </c>
      <c r="C204" s="13"/>
      <c r="D204" s="1" t="b">
        <v>1</v>
      </c>
      <c r="E204" s="14" t="s">
        <v>2561</v>
      </c>
      <c r="F204" s="13" t="s">
        <v>2562</v>
      </c>
      <c r="H204" s="11">
        <v>45775</v>
      </c>
      <c r="I204" s="1" t="str">
        <f t="shared" ca="1" si="6"/>
        <v/>
      </c>
      <c r="J204" s="1">
        <f t="shared" si="7"/>
        <v>202</v>
      </c>
    </row>
    <row r="205" spans="2:10">
      <c r="B205" s="1">
        <v>4</v>
      </c>
      <c r="D205" s="5" t="b">
        <v>1</v>
      </c>
      <c r="E205" s="6" t="s">
        <v>2563</v>
      </c>
      <c r="F205" s="1" t="s">
        <v>2564</v>
      </c>
      <c r="H205" s="11">
        <v>45746</v>
      </c>
      <c r="I205" s="1" t="str">
        <f t="shared" ca="1" si="6"/>
        <v/>
      </c>
      <c r="J205" s="1">
        <f t="shared" si="7"/>
        <v>203</v>
      </c>
    </row>
    <row r="206" spans="2:10">
      <c r="B206" s="1">
        <v>4</v>
      </c>
      <c r="D206" s="5" t="b">
        <v>1</v>
      </c>
      <c r="E206" s="6" t="s">
        <v>2565</v>
      </c>
      <c r="F206" s="1" t="s">
        <v>2566</v>
      </c>
      <c r="H206" s="11">
        <v>45746</v>
      </c>
      <c r="I206" s="1" t="str">
        <f t="shared" ca="1" si="6"/>
        <v/>
      </c>
      <c r="J206" s="1">
        <f t="shared" si="7"/>
        <v>204</v>
      </c>
    </row>
    <row r="207" spans="2:10">
      <c r="B207" s="1">
        <v>4</v>
      </c>
      <c r="C207" s="13"/>
      <c r="D207" s="5" t="b">
        <v>1</v>
      </c>
      <c r="E207" s="6" t="s">
        <v>2567</v>
      </c>
      <c r="F207" s="1" t="s">
        <v>2568</v>
      </c>
      <c r="H207" s="11">
        <v>45746</v>
      </c>
      <c r="I207" s="1" t="str">
        <f t="shared" ca="1" si="6"/>
        <v/>
      </c>
      <c r="J207" s="1">
        <f t="shared" si="7"/>
        <v>205</v>
      </c>
    </row>
    <row r="208" spans="2:10">
      <c r="B208" s="1">
        <v>4</v>
      </c>
      <c r="C208" s="13"/>
      <c r="D208" s="5" t="b">
        <v>1</v>
      </c>
      <c r="E208" s="6" t="s">
        <v>2569</v>
      </c>
      <c r="F208" s="1" t="s">
        <v>2570</v>
      </c>
      <c r="H208" s="11">
        <v>45746</v>
      </c>
      <c r="I208" s="1" t="str">
        <f t="shared" ca="1" si="6"/>
        <v/>
      </c>
      <c r="J208" s="1">
        <f t="shared" si="7"/>
        <v>206</v>
      </c>
    </row>
    <row r="209" spans="2:10">
      <c r="B209" s="1">
        <v>4</v>
      </c>
      <c r="C209" s="13"/>
      <c r="D209" s="5" t="b">
        <v>1</v>
      </c>
      <c r="E209" s="6" t="s">
        <v>2571</v>
      </c>
      <c r="F209" s="1" t="s">
        <v>2572</v>
      </c>
      <c r="H209" s="11">
        <v>45746</v>
      </c>
      <c r="I209" s="1" t="str">
        <f t="shared" ca="1" si="6"/>
        <v/>
      </c>
      <c r="J209" s="1">
        <f t="shared" si="7"/>
        <v>207</v>
      </c>
    </row>
    <row r="210" spans="2:10">
      <c r="B210" s="1">
        <v>4</v>
      </c>
      <c r="C210" s="13"/>
      <c r="D210" s="5" t="b">
        <v>1</v>
      </c>
      <c r="E210" s="6" t="s">
        <v>2573</v>
      </c>
      <c r="F210" s="1" t="s">
        <v>2574</v>
      </c>
      <c r="H210" s="11">
        <v>45746</v>
      </c>
      <c r="I210" s="1" t="str">
        <f t="shared" ca="1" si="6"/>
        <v/>
      </c>
      <c r="J210" s="1">
        <f t="shared" si="7"/>
        <v>208</v>
      </c>
    </row>
    <row r="211" spans="2:10">
      <c r="B211" s="1">
        <v>4</v>
      </c>
      <c r="C211" s="13"/>
      <c r="D211" s="5" t="b">
        <v>1</v>
      </c>
      <c r="E211" s="6" t="s">
        <v>2575</v>
      </c>
      <c r="F211" s="1" t="s">
        <v>2576</v>
      </c>
      <c r="H211" s="11">
        <v>45746</v>
      </c>
      <c r="I211" s="1" t="str">
        <f t="shared" ca="1" si="6"/>
        <v/>
      </c>
      <c r="J211" s="1">
        <f t="shared" si="7"/>
        <v>209</v>
      </c>
    </row>
    <row r="212" spans="2:10">
      <c r="B212" s="1">
        <v>4</v>
      </c>
      <c r="C212" s="13"/>
      <c r="D212" s="5" t="b">
        <v>1</v>
      </c>
      <c r="E212" s="6" t="s">
        <v>2577</v>
      </c>
      <c r="F212" s="1" t="s">
        <v>2578</v>
      </c>
      <c r="H212" s="11">
        <v>45746</v>
      </c>
      <c r="I212" s="1" t="str">
        <f t="shared" ca="1" si="6"/>
        <v/>
      </c>
      <c r="J212" s="1">
        <f t="shared" si="7"/>
        <v>210</v>
      </c>
    </row>
    <row r="213" spans="2:10">
      <c r="B213" s="1">
        <v>4</v>
      </c>
      <c r="C213" s="13"/>
      <c r="D213" s="5" t="b">
        <v>1</v>
      </c>
      <c r="E213" s="6" t="s">
        <v>2579</v>
      </c>
      <c r="F213" s="1" t="s">
        <v>2580</v>
      </c>
      <c r="H213" s="11">
        <v>45746</v>
      </c>
      <c r="I213" s="1" t="str">
        <f t="shared" ca="1" si="6"/>
        <v/>
      </c>
      <c r="J213" s="1">
        <f t="shared" si="7"/>
        <v>211</v>
      </c>
    </row>
    <row r="214" spans="2:10">
      <c r="B214" s="1">
        <v>4</v>
      </c>
      <c r="C214" s="13"/>
      <c r="D214" s="5" t="b">
        <v>1</v>
      </c>
      <c r="E214" s="6" t="s">
        <v>2581</v>
      </c>
      <c r="F214" s="1" t="s">
        <v>2582</v>
      </c>
      <c r="H214" s="11">
        <v>45746</v>
      </c>
      <c r="I214" s="1" t="str">
        <f t="shared" ca="1" si="6"/>
        <v/>
      </c>
      <c r="J214" s="1">
        <f t="shared" si="7"/>
        <v>212</v>
      </c>
    </row>
    <row r="215" spans="2:10">
      <c r="B215" s="1">
        <v>4</v>
      </c>
      <c r="C215" s="13"/>
      <c r="D215" s="5" t="b">
        <v>1</v>
      </c>
      <c r="E215" s="14" t="s">
        <v>2583</v>
      </c>
      <c r="F215" s="13" t="s">
        <v>2584</v>
      </c>
      <c r="H215" s="11">
        <v>45746</v>
      </c>
      <c r="I215" s="1" t="str">
        <f t="shared" ca="1" si="6"/>
        <v/>
      </c>
      <c r="J215" s="1">
        <f t="shared" si="7"/>
        <v>213</v>
      </c>
    </row>
    <row r="216" spans="2:10">
      <c r="B216" s="1">
        <v>4</v>
      </c>
      <c r="D216" s="1" t="b">
        <v>1</v>
      </c>
      <c r="E216" s="14" t="s">
        <v>2585</v>
      </c>
      <c r="F216" s="1" t="s">
        <v>2586</v>
      </c>
      <c r="H216" s="11">
        <v>45746</v>
      </c>
      <c r="I216" s="1" t="str">
        <f t="shared" ca="1" si="6"/>
        <v/>
      </c>
      <c r="J216" s="1">
        <f t="shared" si="7"/>
        <v>214</v>
      </c>
    </row>
    <row r="217" spans="2:10">
      <c r="B217" s="1">
        <v>4</v>
      </c>
      <c r="C217" s="13"/>
      <c r="D217" s="5" t="b">
        <v>1</v>
      </c>
      <c r="E217" s="6" t="s">
        <v>2587</v>
      </c>
      <c r="F217" s="1" t="s">
        <v>2588</v>
      </c>
      <c r="H217" s="11">
        <v>45751</v>
      </c>
      <c r="I217" s="1" t="str">
        <f t="shared" ca="1" si="6"/>
        <v/>
      </c>
      <c r="J217" s="1">
        <f t="shared" si="7"/>
        <v>215</v>
      </c>
    </row>
    <row r="218" spans="2:10">
      <c r="B218" s="1">
        <v>4</v>
      </c>
      <c r="D218" s="1" t="b">
        <v>1</v>
      </c>
      <c r="E218" s="14" t="s">
        <v>2589</v>
      </c>
      <c r="F218" s="1" t="s">
        <v>2590</v>
      </c>
      <c r="H218" s="11">
        <v>45749</v>
      </c>
      <c r="I218" s="1" t="str">
        <f t="shared" ca="1" si="6"/>
        <v/>
      </c>
      <c r="J218" s="1">
        <f t="shared" si="7"/>
        <v>216</v>
      </c>
    </row>
    <row r="219" spans="2:10">
      <c r="B219" s="1">
        <v>4</v>
      </c>
      <c r="C219" s="13"/>
      <c r="D219" s="5" t="b">
        <v>1</v>
      </c>
      <c r="E219" s="6" t="s">
        <v>2591</v>
      </c>
      <c r="F219" s="1" t="s">
        <v>2592</v>
      </c>
      <c r="H219" s="11">
        <v>45749</v>
      </c>
      <c r="I219" s="1" t="str">
        <f t="shared" ca="1" si="6"/>
        <v/>
      </c>
      <c r="J219" s="1">
        <f t="shared" si="7"/>
        <v>217</v>
      </c>
    </row>
    <row r="220" spans="2:10">
      <c r="B220" s="1">
        <v>4</v>
      </c>
      <c r="C220" s="13"/>
      <c r="D220" s="5" t="b">
        <v>1</v>
      </c>
      <c r="E220" s="6" t="s">
        <v>2593</v>
      </c>
      <c r="F220" s="1" t="s">
        <v>2594</v>
      </c>
      <c r="H220" s="11">
        <v>45749</v>
      </c>
      <c r="I220" s="1" t="str">
        <f t="shared" ca="1" si="6"/>
        <v/>
      </c>
      <c r="J220" s="1">
        <f t="shared" si="7"/>
        <v>218</v>
      </c>
    </row>
    <row r="221" spans="2:10">
      <c r="B221" s="1">
        <v>4</v>
      </c>
      <c r="C221" s="13"/>
      <c r="D221" s="5" t="b">
        <v>1</v>
      </c>
      <c r="E221" s="6" t="s">
        <v>2595</v>
      </c>
      <c r="F221" s="1" t="s">
        <v>2596</v>
      </c>
      <c r="H221" s="11">
        <v>45749</v>
      </c>
      <c r="I221" s="1" t="str">
        <f t="shared" ca="1" si="6"/>
        <v/>
      </c>
      <c r="J221" s="1">
        <f t="shared" si="7"/>
        <v>219</v>
      </c>
    </row>
    <row r="222" spans="2:10">
      <c r="B222" s="1">
        <v>4</v>
      </c>
      <c r="C222" s="13"/>
      <c r="D222" s="5" t="b">
        <v>1</v>
      </c>
      <c r="E222" s="6" t="s">
        <v>2597</v>
      </c>
      <c r="F222" s="1" t="s">
        <v>2598</v>
      </c>
      <c r="H222" s="11">
        <v>45749</v>
      </c>
      <c r="I222" s="1" t="str">
        <f t="shared" ca="1" si="6"/>
        <v/>
      </c>
      <c r="J222" s="1">
        <f t="shared" si="7"/>
        <v>220</v>
      </c>
    </row>
    <row r="223" spans="2:10">
      <c r="B223" s="1">
        <v>4</v>
      </c>
      <c r="C223" s="13"/>
      <c r="D223" s="5" t="b">
        <v>1</v>
      </c>
      <c r="E223" s="6" t="s">
        <v>2599</v>
      </c>
      <c r="F223" s="1" t="s">
        <v>2600</v>
      </c>
      <c r="H223" s="11">
        <v>45749</v>
      </c>
      <c r="I223" s="1" t="str">
        <f t="shared" ca="1" si="6"/>
        <v/>
      </c>
      <c r="J223" s="1">
        <f t="shared" si="7"/>
        <v>221</v>
      </c>
    </row>
    <row r="224" spans="2:10">
      <c r="B224" s="1">
        <v>4</v>
      </c>
      <c r="C224" s="13"/>
      <c r="D224" s="5" t="b">
        <v>1</v>
      </c>
      <c r="E224" s="6" t="s">
        <v>2601</v>
      </c>
      <c r="F224" s="1" t="s">
        <v>2602</v>
      </c>
      <c r="H224" s="11">
        <v>45756</v>
      </c>
      <c r="I224" s="1" t="str">
        <f t="shared" ca="1" si="6"/>
        <v/>
      </c>
      <c r="J224" s="1">
        <f t="shared" si="7"/>
        <v>222</v>
      </c>
    </row>
    <row r="225" spans="2:10">
      <c r="B225" s="1">
        <v>4</v>
      </c>
      <c r="C225" s="13"/>
      <c r="D225" s="5" t="b">
        <v>1</v>
      </c>
      <c r="E225" s="6" t="s">
        <v>2603</v>
      </c>
      <c r="F225" s="1" t="s">
        <v>2604</v>
      </c>
      <c r="H225" s="11">
        <v>45756</v>
      </c>
      <c r="I225" s="1" t="str">
        <f t="shared" ca="1" si="6"/>
        <v/>
      </c>
      <c r="J225" s="1">
        <f t="shared" si="7"/>
        <v>223</v>
      </c>
    </row>
    <row r="226" spans="2:10">
      <c r="B226" s="1">
        <v>4</v>
      </c>
      <c r="C226" s="13"/>
      <c r="D226" s="5" t="b">
        <v>1</v>
      </c>
      <c r="E226" s="6" t="s">
        <v>2605</v>
      </c>
      <c r="F226" s="1" t="s">
        <v>2606</v>
      </c>
      <c r="H226" s="11">
        <v>45756</v>
      </c>
      <c r="I226" s="1" t="str">
        <f t="shared" ca="1" si="6"/>
        <v/>
      </c>
      <c r="J226" s="1">
        <f t="shared" si="7"/>
        <v>224</v>
      </c>
    </row>
    <row r="227" spans="2:10">
      <c r="B227" s="1">
        <v>4</v>
      </c>
      <c r="C227" s="13"/>
      <c r="D227" s="5" t="b">
        <v>1</v>
      </c>
      <c r="E227" s="6" t="s">
        <v>2607</v>
      </c>
      <c r="F227" s="13" t="s">
        <v>2608</v>
      </c>
      <c r="H227" s="11">
        <v>45756</v>
      </c>
      <c r="I227" s="1" t="str">
        <f t="shared" ca="1" si="6"/>
        <v/>
      </c>
      <c r="J227" s="1">
        <f t="shared" si="7"/>
        <v>225</v>
      </c>
    </row>
    <row r="228" spans="2:10">
      <c r="B228" s="1">
        <v>4</v>
      </c>
      <c r="C228" s="13"/>
      <c r="D228" s="5" t="b">
        <v>1</v>
      </c>
      <c r="E228" s="6" t="s">
        <v>2609</v>
      </c>
      <c r="F228" s="1" t="s">
        <v>2610</v>
      </c>
      <c r="H228" s="11">
        <v>45756</v>
      </c>
      <c r="I228" s="1" t="str">
        <f t="shared" ca="1" si="6"/>
        <v/>
      </c>
      <c r="J228" s="1">
        <f t="shared" si="7"/>
        <v>226</v>
      </c>
    </row>
    <row r="229" spans="2:10">
      <c r="B229" s="1">
        <v>4</v>
      </c>
      <c r="C229" s="13"/>
      <c r="D229" s="5" t="b">
        <v>1</v>
      </c>
      <c r="E229" s="6" t="s">
        <v>2611</v>
      </c>
      <c r="F229" s="1" t="s">
        <v>2612</v>
      </c>
      <c r="H229" s="11">
        <v>45756</v>
      </c>
      <c r="I229" s="1" t="str">
        <f t="shared" ca="1" si="6"/>
        <v/>
      </c>
      <c r="J229" s="1">
        <f t="shared" si="7"/>
        <v>227</v>
      </c>
    </row>
    <row r="230" spans="2:10">
      <c r="B230" s="1">
        <v>4</v>
      </c>
      <c r="C230" s="13"/>
      <c r="D230" s="1" t="b">
        <v>1</v>
      </c>
      <c r="E230" s="14" t="s">
        <v>2613</v>
      </c>
      <c r="F230" s="1" t="s">
        <v>2614</v>
      </c>
      <c r="H230" s="11">
        <v>45756</v>
      </c>
      <c r="I230" s="1" t="str">
        <f t="shared" ca="1" si="6"/>
        <v/>
      </c>
      <c r="J230" s="1">
        <f t="shared" si="7"/>
        <v>228</v>
      </c>
    </row>
    <row r="231" spans="2:10">
      <c r="B231" s="1">
        <v>4</v>
      </c>
      <c r="C231" s="13"/>
      <c r="D231" s="1" t="b">
        <v>1</v>
      </c>
      <c r="E231" s="14" t="s">
        <v>2615</v>
      </c>
      <c r="F231" s="1" t="s">
        <v>2616</v>
      </c>
      <c r="H231" s="11">
        <v>45756</v>
      </c>
      <c r="I231" s="1" t="str">
        <f t="shared" ca="1" si="6"/>
        <v/>
      </c>
      <c r="J231" s="1">
        <f t="shared" si="7"/>
        <v>229</v>
      </c>
    </row>
    <row r="232" spans="2:10">
      <c r="B232" s="1">
        <v>4</v>
      </c>
      <c r="C232" s="13"/>
      <c r="D232" s="5" t="b">
        <v>1</v>
      </c>
      <c r="E232" s="6" t="s">
        <v>2617</v>
      </c>
      <c r="F232" s="1" t="s">
        <v>2618</v>
      </c>
      <c r="H232" s="11">
        <v>45756</v>
      </c>
      <c r="I232" s="1" t="str">
        <f t="shared" ca="1" si="6"/>
        <v/>
      </c>
      <c r="J232" s="1">
        <f t="shared" si="7"/>
        <v>230</v>
      </c>
    </row>
    <row r="233" spans="2:10">
      <c r="B233" s="1">
        <v>4</v>
      </c>
      <c r="C233" s="13"/>
      <c r="D233" s="5" t="b">
        <v>1</v>
      </c>
      <c r="E233" s="6" t="s">
        <v>2619</v>
      </c>
      <c r="F233" s="1" t="s">
        <v>2620</v>
      </c>
      <c r="H233" s="11">
        <v>45756</v>
      </c>
      <c r="I233" s="1" t="str">
        <f t="shared" ca="1" si="6"/>
        <v/>
      </c>
      <c r="J233" s="1">
        <f t="shared" si="7"/>
        <v>231</v>
      </c>
    </row>
    <row r="234" spans="2:10">
      <c r="B234" s="1">
        <v>4</v>
      </c>
      <c r="D234" s="1" t="b">
        <v>1</v>
      </c>
      <c r="E234" s="14" t="s">
        <v>2621</v>
      </c>
      <c r="F234" s="1" t="s">
        <v>2622</v>
      </c>
      <c r="H234" s="11">
        <v>45756</v>
      </c>
      <c r="I234" s="1" t="str">
        <f t="shared" ca="1" si="6"/>
        <v/>
      </c>
      <c r="J234" s="1">
        <f t="shared" si="7"/>
        <v>232</v>
      </c>
    </row>
    <row r="235" spans="2:10">
      <c r="B235" s="1">
        <v>4</v>
      </c>
      <c r="D235" s="1" t="b">
        <v>1</v>
      </c>
      <c r="E235" s="14" t="s">
        <v>2623</v>
      </c>
      <c r="F235" s="1" t="s">
        <v>2624</v>
      </c>
      <c r="H235" s="11">
        <v>45756</v>
      </c>
      <c r="I235" s="1" t="str">
        <f t="shared" ca="1" si="6"/>
        <v/>
      </c>
      <c r="J235" s="1">
        <f t="shared" si="7"/>
        <v>233</v>
      </c>
    </row>
    <row r="236" spans="2:10">
      <c r="B236" s="1">
        <v>4</v>
      </c>
      <c r="D236" s="1" t="b">
        <v>1</v>
      </c>
      <c r="E236" s="14" t="s">
        <v>2625</v>
      </c>
      <c r="F236" s="1" t="s">
        <v>2626</v>
      </c>
      <c r="H236" s="11">
        <v>45756</v>
      </c>
      <c r="I236" s="1" t="str">
        <f t="shared" ca="1" si="6"/>
        <v/>
      </c>
      <c r="J236" s="1">
        <f t="shared" si="7"/>
        <v>234</v>
      </c>
    </row>
    <row r="237" spans="2:10">
      <c r="B237" s="1">
        <v>4</v>
      </c>
      <c r="D237" s="1" t="b">
        <v>1</v>
      </c>
      <c r="E237" s="14" t="s">
        <v>2627</v>
      </c>
      <c r="F237" s="1" t="s">
        <v>2628</v>
      </c>
      <c r="H237" s="11">
        <v>45756</v>
      </c>
      <c r="I237" s="1" t="str">
        <f t="shared" ca="1" si="6"/>
        <v/>
      </c>
      <c r="J237" s="1">
        <f t="shared" si="7"/>
        <v>235</v>
      </c>
    </row>
    <row r="238" spans="2:10">
      <c r="B238" s="1">
        <v>4</v>
      </c>
      <c r="D238" s="1" t="b">
        <v>1</v>
      </c>
      <c r="E238" s="14" t="s">
        <v>2629</v>
      </c>
      <c r="F238" s="1" t="s">
        <v>2630</v>
      </c>
      <c r="H238" s="11">
        <v>45756</v>
      </c>
      <c r="I238" s="1" t="str">
        <f t="shared" ca="1" si="6"/>
        <v/>
      </c>
      <c r="J238" s="1">
        <f t="shared" si="7"/>
        <v>236</v>
      </c>
    </row>
    <row r="239" spans="2:10">
      <c r="B239" s="1">
        <v>4</v>
      </c>
      <c r="D239" s="1" t="b">
        <v>1</v>
      </c>
      <c r="E239" s="14" t="s">
        <v>2631</v>
      </c>
      <c r="F239" s="1" t="s">
        <v>2632</v>
      </c>
      <c r="H239" s="11">
        <v>45756</v>
      </c>
      <c r="I239" s="1" t="str">
        <f t="shared" ca="1" si="6"/>
        <v/>
      </c>
      <c r="J239" s="1">
        <f t="shared" si="7"/>
        <v>237</v>
      </c>
    </row>
    <row r="240" spans="2:10">
      <c r="B240" s="1">
        <v>4</v>
      </c>
      <c r="D240" s="1" t="b">
        <v>1</v>
      </c>
      <c r="E240" s="14" t="s">
        <v>2633</v>
      </c>
      <c r="F240" s="1" t="s">
        <v>2634</v>
      </c>
      <c r="H240" s="11">
        <v>45756</v>
      </c>
      <c r="I240" s="1" t="str">
        <f t="shared" ca="1" si="6"/>
        <v/>
      </c>
      <c r="J240" s="1">
        <f t="shared" si="7"/>
        <v>238</v>
      </c>
    </row>
    <row r="241" spans="2:10">
      <c r="B241" s="1">
        <v>4</v>
      </c>
      <c r="D241" s="1" t="b">
        <v>1</v>
      </c>
      <c r="E241" s="14" t="s">
        <v>2635</v>
      </c>
      <c r="F241" s="1" t="s">
        <v>2636</v>
      </c>
      <c r="H241" s="11">
        <v>45756</v>
      </c>
      <c r="I241" s="1" t="str">
        <f t="shared" ca="1" si="6"/>
        <v/>
      </c>
      <c r="J241" s="1">
        <f t="shared" si="7"/>
        <v>239</v>
      </c>
    </row>
    <row r="242" spans="2:10">
      <c r="B242" s="1">
        <v>4</v>
      </c>
      <c r="D242" s="1" t="b">
        <v>1</v>
      </c>
      <c r="E242" s="14" t="s">
        <v>2637</v>
      </c>
      <c r="F242" s="1" t="s">
        <v>2638</v>
      </c>
      <c r="H242" s="11">
        <v>45756</v>
      </c>
      <c r="I242" s="1" t="str">
        <f t="shared" ca="1" si="6"/>
        <v/>
      </c>
      <c r="J242" s="1">
        <f t="shared" si="7"/>
        <v>240</v>
      </c>
    </row>
    <row r="243" spans="2:10">
      <c r="B243" s="1">
        <v>4</v>
      </c>
      <c r="D243" s="1" t="b">
        <v>1</v>
      </c>
      <c r="E243" s="14" t="s">
        <v>2639</v>
      </c>
      <c r="F243" s="1" t="s">
        <v>2640</v>
      </c>
      <c r="H243" s="11">
        <v>45756</v>
      </c>
      <c r="I243" s="1" t="str">
        <f t="shared" ca="1" si="6"/>
        <v/>
      </c>
      <c r="J243" s="1">
        <f t="shared" si="7"/>
        <v>241</v>
      </c>
    </row>
    <row r="244" spans="2:10">
      <c r="B244" s="1">
        <v>4</v>
      </c>
      <c r="D244" s="1" t="b">
        <v>1</v>
      </c>
      <c r="E244" s="14" t="s">
        <v>2641</v>
      </c>
      <c r="F244" s="1" t="s">
        <v>2642</v>
      </c>
      <c r="H244" s="11">
        <v>45756</v>
      </c>
      <c r="I244" s="1" t="str">
        <f t="shared" ca="1" si="6"/>
        <v/>
      </c>
      <c r="J244" s="1">
        <f t="shared" si="7"/>
        <v>242</v>
      </c>
    </row>
    <row r="245" spans="2:10">
      <c r="B245" s="1">
        <v>4</v>
      </c>
      <c r="D245" s="1" t="b">
        <v>1</v>
      </c>
      <c r="E245" s="14" t="s">
        <v>2643</v>
      </c>
      <c r="F245" s="1" t="s">
        <v>2644</v>
      </c>
      <c r="H245" s="11">
        <v>45756</v>
      </c>
      <c r="I245" s="1" t="str">
        <f t="shared" ca="1" si="6"/>
        <v/>
      </c>
      <c r="J245" s="1">
        <f t="shared" si="7"/>
        <v>243</v>
      </c>
    </row>
    <row r="246" spans="2:10">
      <c r="B246" s="1">
        <v>4</v>
      </c>
      <c r="D246" s="1" t="b">
        <v>1</v>
      </c>
      <c r="E246" s="14" t="s">
        <v>2645</v>
      </c>
      <c r="F246" s="13" t="s">
        <v>2646</v>
      </c>
      <c r="H246" s="11">
        <v>45756</v>
      </c>
      <c r="I246" s="1" t="str">
        <f t="shared" ca="1" si="6"/>
        <v/>
      </c>
      <c r="J246" s="1">
        <f t="shared" si="7"/>
        <v>244</v>
      </c>
    </row>
    <row r="247" spans="2:10">
      <c r="B247" s="1">
        <v>4</v>
      </c>
      <c r="D247" s="1" t="b">
        <v>1</v>
      </c>
      <c r="E247" s="14" t="s">
        <v>2647</v>
      </c>
      <c r="F247" s="13" t="s">
        <v>2648</v>
      </c>
      <c r="H247" s="11">
        <v>45756</v>
      </c>
      <c r="I247" s="1" t="str">
        <f t="shared" ca="1" si="6"/>
        <v/>
      </c>
      <c r="J247" s="1">
        <f t="shared" si="7"/>
        <v>245</v>
      </c>
    </row>
    <row r="248" spans="2:10">
      <c r="B248" s="1">
        <v>4</v>
      </c>
      <c r="C248" s="13"/>
      <c r="D248" s="1" t="b">
        <v>1</v>
      </c>
      <c r="E248" s="14" t="s">
        <v>2649</v>
      </c>
      <c r="F248" s="1" t="s">
        <v>2650</v>
      </c>
      <c r="H248" s="11">
        <v>45756</v>
      </c>
      <c r="I248" s="1" t="str">
        <f t="shared" ca="1" si="6"/>
        <v/>
      </c>
      <c r="J248" s="1">
        <f t="shared" si="7"/>
        <v>246</v>
      </c>
    </row>
    <row r="249" spans="2:10">
      <c r="B249" s="1">
        <v>4</v>
      </c>
      <c r="C249" s="13"/>
      <c r="D249" s="1" t="b">
        <v>1</v>
      </c>
      <c r="E249" s="14" t="s">
        <v>2651</v>
      </c>
      <c r="F249" s="1" t="s">
        <v>2652</v>
      </c>
      <c r="H249" s="11">
        <v>45756</v>
      </c>
      <c r="I249" s="1" t="str">
        <f t="shared" ca="1" si="6"/>
        <v/>
      </c>
      <c r="J249" s="1">
        <f t="shared" si="7"/>
        <v>247</v>
      </c>
    </row>
    <row r="250" spans="2:10">
      <c r="B250" s="1">
        <v>4</v>
      </c>
      <c r="C250" s="13"/>
      <c r="D250" s="1" t="b">
        <v>1</v>
      </c>
      <c r="E250" s="14" t="s">
        <v>2653</v>
      </c>
      <c r="F250" s="1" t="s">
        <v>2654</v>
      </c>
      <c r="H250" s="11">
        <v>45756</v>
      </c>
      <c r="I250" s="1" t="str">
        <f t="shared" ca="1" si="6"/>
        <v/>
      </c>
      <c r="J250" s="1">
        <f t="shared" si="7"/>
        <v>248</v>
      </c>
    </row>
    <row r="251" spans="2:10">
      <c r="B251" s="1">
        <v>4</v>
      </c>
      <c r="C251" s="13"/>
      <c r="D251" s="1" t="b">
        <v>1</v>
      </c>
      <c r="E251" s="14" t="s">
        <v>2655</v>
      </c>
      <c r="F251" s="13" t="s">
        <v>2656</v>
      </c>
      <c r="H251" s="11">
        <v>45756</v>
      </c>
      <c r="I251" s="1" t="str">
        <f t="shared" ca="1" si="6"/>
        <v/>
      </c>
      <c r="J251" s="1">
        <f t="shared" si="7"/>
        <v>249</v>
      </c>
    </row>
    <row r="252" spans="2:10">
      <c r="B252" s="1">
        <v>4</v>
      </c>
      <c r="C252" s="13"/>
      <c r="D252" s="1" t="b">
        <v>1</v>
      </c>
      <c r="E252" s="14" t="s">
        <v>2657</v>
      </c>
      <c r="F252" s="1" t="s">
        <v>2658</v>
      </c>
      <c r="H252" s="11">
        <v>45756</v>
      </c>
      <c r="I252" s="1" t="str">
        <f t="shared" ca="1" si="6"/>
        <v/>
      </c>
      <c r="J252" s="1">
        <f t="shared" si="7"/>
        <v>250</v>
      </c>
    </row>
    <row r="253" spans="2:10">
      <c r="B253" s="1">
        <v>4</v>
      </c>
      <c r="C253" s="13"/>
      <c r="D253" s="1" t="b">
        <v>1</v>
      </c>
      <c r="E253" s="14" t="s">
        <v>2659</v>
      </c>
      <c r="F253" s="1" t="s">
        <v>2660</v>
      </c>
      <c r="H253" s="11">
        <v>45756</v>
      </c>
      <c r="I253" s="1" t="str">
        <f t="shared" ca="1" si="6"/>
        <v/>
      </c>
      <c r="J253" s="1">
        <f t="shared" si="7"/>
        <v>251</v>
      </c>
    </row>
    <row r="254" spans="2:10">
      <c r="B254" s="1">
        <v>4</v>
      </c>
      <c r="C254" s="13"/>
      <c r="D254" s="1" t="b">
        <v>1</v>
      </c>
      <c r="E254" s="14" t="s">
        <v>2661</v>
      </c>
      <c r="F254" s="1" t="s">
        <v>2662</v>
      </c>
      <c r="H254" s="11">
        <v>45756</v>
      </c>
      <c r="I254" s="1" t="str">
        <f t="shared" ca="1" si="6"/>
        <v/>
      </c>
      <c r="J254" s="1">
        <f t="shared" si="7"/>
        <v>252</v>
      </c>
    </row>
    <row r="255" spans="2:10">
      <c r="B255" s="1">
        <v>4</v>
      </c>
      <c r="C255" s="13"/>
      <c r="D255" s="1" t="b">
        <v>1</v>
      </c>
      <c r="E255" s="14" t="s">
        <v>2663</v>
      </c>
      <c r="F255" s="1" t="s">
        <v>2664</v>
      </c>
      <c r="H255" s="11">
        <v>45756</v>
      </c>
      <c r="I255" s="1" t="str">
        <f t="shared" ca="1" si="6"/>
        <v/>
      </c>
      <c r="J255" s="1">
        <f t="shared" si="7"/>
        <v>253</v>
      </c>
    </row>
    <row r="256" spans="2:10">
      <c r="B256" s="1">
        <v>4</v>
      </c>
      <c r="C256" s="13"/>
      <c r="D256" s="1" t="b">
        <v>1</v>
      </c>
      <c r="E256" s="14" t="s">
        <v>2665</v>
      </c>
      <c r="F256" s="1" t="s">
        <v>2666</v>
      </c>
      <c r="H256" s="11">
        <v>45756</v>
      </c>
      <c r="I256" s="1" t="str">
        <f t="shared" ca="1" si="6"/>
        <v/>
      </c>
      <c r="J256" s="1">
        <f t="shared" si="7"/>
        <v>254</v>
      </c>
    </row>
    <row r="257" spans="2:10">
      <c r="B257" s="1">
        <v>4</v>
      </c>
      <c r="C257" s="13"/>
      <c r="D257" s="1" t="b">
        <v>1</v>
      </c>
      <c r="E257" s="14" t="s">
        <v>2667</v>
      </c>
      <c r="F257" s="1" t="s">
        <v>2668</v>
      </c>
      <c r="H257" s="11">
        <v>45756</v>
      </c>
      <c r="I257" s="1" t="str">
        <f t="shared" ca="1" si="6"/>
        <v/>
      </c>
      <c r="J257" s="1">
        <f t="shared" si="7"/>
        <v>255</v>
      </c>
    </row>
    <row r="258" spans="2:10">
      <c r="B258" s="1">
        <v>4</v>
      </c>
      <c r="C258" s="13"/>
      <c r="D258" s="5" t="b">
        <v>1</v>
      </c>
      <c r="E258" s="6" t="s">
        <v>2669</v>
      </c>
      <c r="F258" s="13" t="s">
        <v>2670</v>
      </c>
      <c r="G258" s="43"/>
      <c r="H258" s="11">
        <v>45756</v>
      </c>
      <c r="I258" s="1" t="str">
        <f t="shared" ca="1" si="6"/>
        <v/>
      </c>
      <c r="J258" s="1">
        <f t="shared" si="7"/>
        <v>256</v>
      </c>
    </row>
    <row r="259" spans="2:10">
      <c r="B259" s="1">
        <v>4</v>
      </c>
      <c r="C259" s="13"/>
      <c r="D259" s="5" t="b">
        <v>1</v>
      </c>
      <c r="E259" s="6" t="s">
        <v>2671</v>
      </c>
      <c r="F259" s="1" t="s">
        <v>2672</v>
      </c>
      <c r="H259" s="11">
        <v>45756</v>
      </c>
      <c r="I259" s="1" t="str">
        <f t="shared" ref="I259:I314" ca="1" si="8">IF(H259-$G$1&lt;=0,"●","")</f>
        <v/>
      </c>
      <c r="J259" s="1">
        <f t="shared" ref="J259:J314" si="9">ROW()-2</f>
        <v>257</v>
      </c>
    </row>
    <row r="260" spans="2:10">
      <c r="B260" s="5">
        <v>4</v>
      </c>
      <c r="C260" s="12"/>
      <c r="D260" s="5" t="b">
        <v>1</v>
      </c>
      <c r="E260" s="6" t="s">
        <v>2673</v>
      </c>
      <c r="F260" s="5" t="s">
        <v>2674</v>
      </c>
      <c r="G260" s="46"/>
      <c r="H260" s="11">
        <v>45759</v>
      </c>
      <c r="I260" s="1" t="str">
        <f t="shared" ca="1" si="8"/>
        <v/>
      </c>
      <c r="J260" s="1">
        <f t="shared" si="9"/>
        <v>258</v>
      </c>
    </row>
    <row r="261" spans="2:10">
      <c r="B261" s="1">
        <v>4</v>
      </c>
      <c r="C261" s="13"/>
      <c r="D261" s="1" t="b">
        <v>1</v>
      </c>
      <c r="E261" s="14" t="s">
        <v>2675</v>
      </c>
      <c r="F261" s="1" t="s">
        <v>2676</v>
      </c>
      <c r="H261" s="11">
        <v>45756</v>
      </c>
      <c r="I261" s="1" t="str">
        <f t="shared" ca="1" si="8"/>
        <v/>
      </c>
      <c r="J261" s="1">
        <f t="shared" si="9"/>
        <v>259</v>
      </c>
    </row>
    <row r="262" spans="2:10">
      <c r="B262" s="1">
        <v>4</v>
      </c>
      <c r="C262" s="13"/>
      <c r="D262" s="5" t="b">
        <v>1</v>
      </c>
      <c r="E262" s="6" t="s">
        <v>2677</v>
      </c>
      <c r="F262" s="1" t="s">
        <v>2678</v>
      </c>
      <c r="H262" s="11">
        <v>45759</v>
      </c>
      <c r="I262" s="1" t="str">
        <f t="shared" ca="1" si="8"/>
        <v/>
      </c>
      <c r="J262" s="1">
        <f t="shared" si="9"/>
        <v>260</v>
      </c>
    </row>
    <row r="263" spans="2:10">
      <c r="B263" s="1">
        <v>4</v>
      </c>
      <c r="C263" s="13"/>
      <c r="D263" s="5" t="b">
        <v>1</v>
      </c>
      <c r="E263" s="6" t="s">
        <v>2679</v>
      </c>
      <c r="F263" s="1" t="s">
        <v>2680</v>
      </c>
      <c r="H263" s="11">
        <v>45759</v>
      </c>
      <c r="I263" s="1" t="str">
        <f t="shared" ca="1" si="8"/>
        <v/>
      </c>
      <c r="J263" s="1">
        <f t="shared" si="9"/>
        <v>261</v>
      </c>
    </row>
    <row r="264" spans="2:10">
      <c r="B264" s="1">
        <v>4</v>
      </c>
      <c r="D264" s="1" t="b">
        <v>1</v>
      </c>
      <c r="E264" s="14" t="s">
        <v>2681</v>
      </c>
      <c r="F264" s="1" t="s">
        <v>2682</v>
      </c>
      <c r="H264" s="11">
        <v>45759</v>
      </c>
      <c r="I264" s="1" t="str">
        <f t="shared" ca="1" si="8"/>
        <v/>
      </c>
      <c r="J264" s="1">
        <f t="shared" si="9"/>
        <v>262</v>
      </c>
    </row>
    <row r="265" spans="2:10">
      <c r="B265" s="1">
        <v>4</v>
      </c>
      <c r="C265" s="13"/>
      <c r="D265" s="1" t="b">
        <v>1</v>
      </c>
      <c r="E265" s="14" t="s">
        <v>2683</v>
      </c>
      <c r="F265" s="1" t="s">
        <v>2684</v>
      </c>
      <c r="H265" s="11">
        <v>45759</v>
      </c>
      <c r="I265" s="1" t="str">
        <f t="shared" ca="1" si="8"/>
        <v/>
      </c>
      <c r="J265" s="1">
        <f t="shared" si="9"/>
        <v>263</v>
      </c>
    </row>
    <row r="266" spans="2:10">
      <c r="B266" s="1">
        <v>4</v>
      </c>
      <c r="C266" s="13"/>
      <c r="D266" s="1" t="b">
        <v>1</v>
      </c>
      <c r="E266" s="14" t="s">
        <v>2685</v>
      </c>
      <c r="F266" s="1" t="s">
        <v>2686</v>
      </c>
      <c r="H266" s="11">
        <v>45759</v>
      </c>
      <c r="I266" s="1" t="str">
        <f t="shared" ca="1" si="8"/>
        <v/>
      </c>
      <c r="J266" s="1">
        <f t="shared" si="9"/>
        <v>264</v>
      </c>
    </row>
    <row r="267" spans="2:10">
      <c r="B267" s="1">
        <v>4</v>
      </c>
      <c r="C267" s="13"/>
      <c r="D267" s="1" t="b">
        <v>1</v>
      </c>
      <c r="E267" s="14" t="s">
        <v>2687</v>
      </c>
      <c r="F267" s="1" t="s">
        <v>2688</v>
      </c>
      <c r="H267" s="11">
        <v>45766</v>
      </c>
      <c r="I267" s="1" t="str">
        <f t="shared" ca="1" si="8"/>
        <v/>
      </c>
      <c r="J267" s="1">
        <f t="shared" si="9"/>
        <v>265</v>
      </c>
    </row>
    <row r="268" spans="2:10">
      <c r="B268" s="1">
        <v>4</v>
      </c>
      <c r="C268" s="13"/>
      <c r="D268" s="1" t="b">
        <v>1</v>
      </c>
      <c r="E268" s="14" t="s">
        <v>2689</v>
      </c>
      <c r="F268" s="1" t="s">
        <v>2690</v>
      </c>
      <c r="H268" s="11">
        <v>45756</v>
      </c>
      <c r="I268" s="1" t="str">
        <f t="shared" ca="1" si="8"/>
        <v/>
      </c>
      <c r="J268" s="1">
        <f t="shared" si="9"/>
        <v>266</v>
      </c>
    </row>
    <row r="269" spans="2:10">
      <c r="B269" s="1">
        <v>4</v>
      </c>
      <c r="C269" s="13"/>
      <c r="D269" s="1" t="b">
        <v>1</v>
      </c>
      <c r="E269" s="14" t="s">
        <v>2691</v>
      </c>
      <c r="F269" s="1" t="s">
        <v>2692</v>
      </c>
      <c r="H269" s="11">
        <v>45759</v>
      </c>
      <c r="I269" s="1" t="str">
        <f t="shared" ca="1" si="8"/>
        <v/>
      </c>
      <c r="J269" s="1">
        <f t="shared" si="9"/>
        <v>267</v>
      </c>
    </row>
    <row r="270" spans="2:10">
      <c r="B270" s="1">
        <v>4</v>
      </c>
      <c r="C270" s="13"/>
      <c r="D270" s="1" t="b">
        <v>1</v>
      </c>
      <c r="E270" s="14" t="s">
        <v>2693</v>
      </c>
      <c r="F270" s="1" t="s">
        <v>2694</v>
      </c>
      <c r="H270" s="11">
        <v>45759</v>
      </c>
      <c r="I270" s="1" t="str">
        <f t="shared" ca="1" si="8"/>
        <v/>
      </c>
      <c r="J270" s="1">
        <f t="shared" si="9"/>
        <v>268</v>
      </c>
    </row>
    <row r="271" spans="2:10">
      <c r="B271" s="1">
        <v>4</v>
      </c>
      <c r="C271" s="13"/>
      <c r="D271" s="1" t="b">
        <v>1</v>
      </c>
      <c r="E271" s="14" t="s">
        <v>2695</v>
      </c>
      <c r="F271" s="1" t="s">
        <v>2696</v>
      </c>
      <c r="H271" s="11">
        <v>45759</v>
      </c>
      <c r="I271" s="1" t="str">
        <f t="shared" ca="1" si="8"/>
        <v/>
      </c>
      <c r="J271" s="1">
        <f t="shared" si="9"/>
        <v>269</v>
      </c>
    </row>
    <row r="272" spans="2:10">
      <c r="B272" s="1">
        <v>4</v>
      </c>
      <c r="C272" s="13"/>
      <c r="D272" s="1" t="b">
        <v>1</v>
      </c>
      <c r="E272" s="14" t="s">
        <v>2697</v>
      </c>
      <c r="F272" s="1" t="s">
        <v>2698</v>
      </c>
      <c r="H272" s="11">
        <v>45759</v>
      </c>
      <c r="I272" s="1" t="str">
        <f t="shared" ca="1" si="8"/>
        <v/>
      </c>
      <c r="J272" s="1">
        <f t="shared" si="9"/>
        <v>270</v>
      </c>
    </row>
    <row r="273" spans="2:10">
      <c r="B273" s="1">
        <v>4</v>
      </c>
      <c r="C273" s="13"/>
      <c r="D273" s="1" t="b">
        <v>1</v>
      </c>
      <c r="E273" s="14" t="s">
        <v>2699</v>
      </c>
      <c r="F273" s="1" t="s">
        <v>2700</v>
      </c>
      <c r="H273" s="11">
        <v>45759</v>
      </c>
      <c r="I273" s="1" t="str">
        <f t="shared" ca="1" si="8"/>
        <v/>
      </c>
      <c r="J273" s="1">
        <f t="shared" si="9"/>
        <v>271</v>
      </c>
    </row>
    <row r="274" spans="2:10">
      <c r="B274" s="1">
        <v>4</v>
      </c>
      <c r="C274" s="13"/>
      <c r="D274" s="1" t="b">
        <v>1</v>
      </c>
      <c r="E274" s="14" t="s">
        <v>2701</v>
      </c>
      <c r="F274" s="13" t="s">
        <v>2702</v>
      </c>
      <c r="H274" s="11">
        <v>45759</v>
      </c>
      <c r="I274" s="1" t="str">
        <f t="shared" ca="1" si="8"/>
        <v/>
      </c>
      <c r="J274" s="1">
        <f t="shared" si="9"/>
        <v>272</v>
      </c>
    </row>
    <row r="275" spans="2:10">
      <c r="B275" s="1">
        <v>4</v>
      </c>
      <c r="C275" s="13"/>
      <c r="D275" s="1" t="b">
        <v>1</v>
      </c>
      <c r="E275" s="14" t="s">
        <v>2703</v>
      </c>
      <c r="F275" s="1" t="s">
        <v>2704</v>
      </c>
      <c r="H275" s="11">
        <v>45756</v>
      </c>
      <c r="I275" s="1" t="str">
        <f t="shared" ca="1" si="8"/>
        <v/>
      </c>
      <c r="J275" s="1">
        <f t="shared" si="9"/>
        <v>273</v>
      </c>
    </row>
    <row r="276" spans="2:10">
      <c r="B276" s="1">
        <v>4</v>
      </c>
      <c r="C276" s="13"/>
      <c r="D276" s="1" t="b">
        <v>1</v>
      </c>
      <c r="E276" s="14" t="s">
        <v>2705</v>
      </c>
      <c r="F276" s="1" t="s">
        <v>2706</v>
      </c>
      <c r="H276" s="11">
        <v>45759</v>
      </c>
      <c r="I276" s="1" t="str">
        <f t="shared" ca="1" si="8"/>
        <v/>
      </c>
      <c r="J276" s="1">
        <f t="shared" si="9"/>
        <v>274</v>
      </c>
    </row>
    <row r="277" spans="2:10">
      <c r="B277" s="1">
        <v>4</v>
      </c>
      <c r="C277" s="13"/>
      <c r="D277" s="5" t="b">
        <v>1</v>
      </c>
      <c r="E277" s="6" t="s">
        <v>2707</v>
      </c>
      <c r="F277" s="1" t="s">
        <v>2708</v>
      </c>
      <c r="H277" s="11">
        <v>45759</v>
      </c>
      <c r="I277" s="1" t="str">
        <f t="shared" ca="1" si="8"/>
        <v/>
      </c>
      <c r="J277" s="1">
        <f t="shared" si="9"/>
        <v>275</v>
      </c>
    </row>
    <row r="278" spans="2:10">
      <c r="B278" s="1">
        <v>4</v>
      </c>
      <c r="C278" s="13"/>
      <c r="D278" s="1" t="b">
        <v>1</v>
      </c>
      <c r="E278" s="14" t="s">
        <v>2709</v>
      </c>
      <c r="F278" s="1" t="s">
        <v>2710</v>
      </c>
      <c r="H278" s="11">
        <v>45759</v>
      </c>
      <c r="I278" s="1" t="str">
        <f t="shared" ca="1" si="8"/>
        <v/>
      </c>
      <c r="J278" s="1">
        <f t="shared" si="9"/>
        <v>276</v>
      </c>
    </row>
    <row r="279" spans="2:10">
      <c r="B279" s="1">
        <v>4</v>
      </c>
      <c r="C279" s="13"/>
      <c r="D279" s="1" t="b">
        <v>1</v>
      </c>
      <c r="E279" s="14" t="s">
        <v>2711</v>
      </c>
      <c r="F279" s="1" t="s">
        <v>2712</v>
      </c>
      <c r="H279" s="11">
        <v>45759</v>
      </c>
      <c r="I279" s="1" t="str">
        <f t="shared" ca="1" si="8"/>
        <v/>
      </c>
      <c r="J279" s="1">
        <f t="shared" si="9"/>
        <v>277</v>
      </c>
    </row>
    <row r="280" spans="2:10">
      <c r="B280" s="1">
        <v>4</v>
      </c>
      <c r="C280" s="13"/>
      <c r="D280" s="1" t="b">
        <v>1</v>
      </c>
      <c r="E280" s="14" t="s">
        <v>2713</v>
      </c>
      <c r="F280" s="1" t="s">
        <v>2714</v>
      </c>
      <c r="H280" s="11">
        <v>45759</v>
      </c>
      <c r="I280" s="1" t="str">
        <f t="shared" ca="1" si="8"/>
        <v/>
      </c>
      <c r="J280" s="1">
        <f t="shared" si="9"/>
        <v>278</v>
      </c>
    </row>
    <row r="281" spans="2:10">
      <c r="B281" s="1">
        <v>4</v>
      </c>
      <c r="C281" s="13"/>
      <c r="D281" s="1" t="b">
        <v>1</v>
      </c>
      <c r="E281" s="14" t="s">
        <v>2715</v>
      </c>
      <c r="F281" s="1" t="s">
        <v>2716</v>
      </c>
      <c r="H281" s="11">
        <v>45759</v>
      </c>
      <c r="I281" s="1" t="str">
        <f t="shared" ca="1" si="8"/>
        <v/>
      </c>
      <c r="J281" s="1">
        <f t="shared" si="9"/>
        <v>279</v>
      </c>
    </row>
    <row r="282" spans="2:10">
      <c r="B282" s="1">
        <v>4</v>
      </c>
      <c r="C282" s="13"/>
      <c r="D282" s="1" t="b">
        <v>1</v>
      </c>
      <c r="E282" s="14" t="s">
        <v>2717</v>
      </c>
      <c r="F282" s="1" t="s">
        <v>2718</v>
      </c>
      <c r="H282" s="11">
        <v>45756</v>
      </c>
      <c r="I282" s="1" t="str">
        <f t="shared" ca="1" si="8"/>
        <v/>
      </c>
      <c r="J282" s="1">
        <f t="shared" si="9"/>
        <v>280</v>
      </c>
    </row>
    <row r="283" spans="2:10">
      <c r="B283" s="1">
        <v>4</v>
      </c>
      <c r="C283" s="13"/>
      <c r="D283" s="1" t="b">
        <v>1</v>
      </c>
      <c r="E283" s="14" t="s">
        <v>2719</v>
      </c>
      <c r="F283" s="13" t="s">
        <v>2720</v>
      </c>
      <c r="H283" s="11">
        <v>45759</v>
      </c>
      <c r="I283" s="1" t="str">
        <f t="shared" ca="1" si="8"/>
        <v/>
      </c>
      <c r="J283" s="1">
        <f t="shared" si="9"/>
        <v>281</v>
      </c>
    </row>
    <row r="284" spans="2:10">
      <c r="B284" s="1">
        <v>4</v>
      </c>
      <c r="C284" s="13"/>
      <c r="D284" s="1" t="b">
        <v>1</v>
      </c>
      <c r="E284" s="14" t="s">
        <v>2721</v>
      </c>
      <c r="F284" s="1" t="s">
        <v>2722</v>
      </c>
      <c r="H284" s="11">
        <v>45759</v>
      </c>
      <c r="I284" s="1" t="str">
        <f t="shared" ca="1" si="8"/>
        <v/>
      </c>
      <c r="J284" s="1">
        <f t="shared" si="9"/>
        <v>282</v>
      </c>
    </row>
    <row r="285" spans="2:10">
      <c r="B285" s="1">
        <v>4</v>
      </c>
      <c r="C285" s="13"/>
      <c r="D285" s="1" t="b">
        <v>1</v>
      </c>
      <c r="E285" s="14" t="s">
        <v>2723</v>
      </c>
      <c r="F285" s="1" t="s">
        <v>2724</v>
      </c>
      <c r="H285" s="11">
        <v>45759</v>
      </c>
      <c r="I285" s="1" t="str">
        <f t="shared" ca="1" si="8"/>
        <v/>
      </c>
      <c r="J285" s="1">
        <f t="shared" si="9"/>
        <v>283</v>
      </c>
    </row>
    <row r="286" spans="2:10">
      <c r="B286" s="1">
        <v>4</v>
      </c>
      <c r="C286" s="13"/>
      <c r="D286" s="1" t="b">
        <v>1</v>
      </c>
      <c r="E286" s="14" t="s">
        <v>2725</v>
      </c>
      <c r="F286" s="1" t="s">
        <v>2726</v>
      </c>
      <c r="H286" s="11">
        <v>45759</v>
      </c>
      <c r="I286" s="1" t="str">
        <f t="shared" ca="1" si="8"/>
        <v/>
      </c>
      <c r="J286" s="1">
        <f t="shared" si="9"/>
        <v>284</v>
      </c>
    </row>
    <row r="287" spans="2:10">
      <c r="B287" s="1">
        <v>4</v>
      </c>
      <c r="C287" s="13"/>
      <c r="D287" s="1" t="b">
        <v>1</v>
      </c>
      <c r="E287" s="14" t="s">
        <v>2727</v>
      </c>
      <c r="F287" s="1" t="s">
        <v>2728</v>
      </c>
      <c r="H287" s="11">
        <v>45759</v>
      </c>
      <c r="I287" s="1" t="str">
        <f t="shared" ca="1" si="8"/>
        <v/>
      </c>
      <c r="J287" s="1">
        <f t="shared" si="9"/>
        <v>285</v>
      </c>
    </row>
    <row r="288" spans="2:10">
      <c r="B288" s="1">
        <v>4</v>
      </c>
      <c r="C288" s="13"/>
      <c r="D288" s="1" t="b">
        <v>1</v>
      </c>
      <c r="E288" s="14" t="s">
        <v>2729</v>
      </c>
      <c r="F288" s="1" t="s">
        <v>2730</v>
      </c>
      <c r="H288" s="11">
        <v>45759</v>
      </c>
      <c r="I288" s="1" t="str">
        <f t="shared" ca="1" si="8"/>
        <v/>
      </c>
      <c r="J288" s="1">
        <f t="shared" si="9"/>
        <v>286</v>
      </c>
    </row>
    <row r="289" spans="2:10">
      <c r="B289" s="1">
        <v>4</v>
      </c>
      <c r="C289" s="13"/>
      <c r="D289" s="1" t="b">
        <v>1</v>
      </c>
      <c r="E289" s="14" t="s">
        <v>2731</v>
      </c>
      <c r="F289" s="1" t="s">
        <v>2732</v>
      </c>
      <c r="H289" s="11">
        <v>45759</v>
      </c>
      <c r="I289" s="1" t="str">
        <f t="shared" ca="1" si="8"/>
        <v/>
      </c>
      <c r="J289" s="1">
        <f t="shared" si="9"/>
        <v>287</v>
      </c>
    </row>
    <row r="290" spans="2:10">
      <c r="B290" s="1">
        <v>4</v>
      </c>
      <c r="C290" s="13"/>
      <c r="D290" s="1" t="b">
        <v>1</v>
      </c>
      <c r="E290" s="14" t="s">
        <v>2733</v>
      </c>
      <c r="F290" s="13" t="s">
        <v>2734</v>
      </c>
      <c r="H290" s="11">
        <v>45759</v>
      </c>
      <c r="I290" s="1" t="str">
        <f t="shared" ca="1" si="8"/>
        <v/>
      </c>
      <c r="J290" s="1">
        <f t="shared" si="9"/>
        <v>288</v>
      </c>
    </row>
    <row r="291" spans="2:10">
      <c r="B291" s="1">
        <v>4</v>
      </c>
      <c r="C291" s="13"/>
      <c r="D291" s="1" t="b">
        <v>1</v>
      </c>
      <c r="E291" s="14" t="s">
        <v>2735</v>
      </c>
      <c r="F291" s="13" t="s">
        <v>2736</v>
      </c>
      <c r="H291" s="11">
        <v>45765</v>
      </c>
      <c r="I291" s="1" t="str">
        <f t="shared" ca="1" si="8"/>
        <v/>
      </c>
      <c r="J291" s="1">
        <f t="shared" si="9"/>
        <v>289</v>
      </c>
    </row>
    <row r="292" spans="2:10">
      <c r="B292" s="1">
        <v>4</v>
      </c>
      <c r="C292" s="13"/>
      <c r="D292" s="1" t="b">
        <v>1</v>
      </c>
      <c r="E292" s="14" t="s">
        <v>2737</v>
      </c>
      <c r="F292" s="1" t="s">
        <v>2738</v>
      </c>
      <c r="H292" s="11">
        <v>45765</v>
      </c>
      <c r="I292" s="1" t="str">
        <f t="shared" ca="1" si="8"/>
        <v/>
      </c>
      <c r="J292" s="1">
        <f t="shared" si="9"/>
        <v>290</v>
      </c>
    </row>
    <row r="293" spans="2:10">
      <c r="B293" s="1">
        <v>4</v>
      </c>
      <c r="C293" s="13"/>
      <c r="D293" s="1" t="b">
        <v>1</v>
      </c>
      <c r="E293" s="14" t="s">
        <v>2739</v>
      </c>
      <c r="F293" s="1" t="s">
        <v>2740</v>
      </c>
      <c r="H293" s="11">
        <v>45765</v>
      </c>
      <c r="I293" s="1" t="str">
        <f t="shared" ca="1" si="8"/>
        <v/>
      </c>
      <c r="J293" s="1">
        <f t="shared" si="9"/>
        <v>291</v>
      </c>
    </row>
    <row r="294" spans="2:10">
      <c r="B294" s="1">
        <v>4</v>
      </c>
      <c r="C294" s="13"/>
      <c r="D294" s="1" t="b">
        <v>1</v>
      </c>
      <c r="E294" s="14" t="s">
        <v>2741</v>
      </c>
      <c r="F294" s="1" t="s">
        <v>2742</v>
      </c>
      <c r="H294" s="11">
        <v>45765</v>
      </c>
      <c r="I294" s="1" t="str">
        <f t="shared" ca="1" si="8"/>
        <v/>
      </c>
      <c r="J294" s="1">
        <f t="shared" si="9"/>
        <v>292</v>
      </c>
    </row>
    <row r="295" spans="2:10">
      <c r="B295" s="1">
        <v>4</v>
      </c>
      <c r="C295" s="13"/>
      <c r="D295" s="1" t="b">
        <v>1</v>
      </c>
      <c r="E295" s="14" t="s">
        <v>2743</v>
      </c>
      <c r="F295" s="1" t="s">
        <v>2744</v>
      </c>
      <c r="H295" s="11">
        <v>45765</v>
      </c>
      <c r="I295" s="1" t="str">
        <f t="shared" ca="1" si="8"/>
        <v/>
      </c>
      <c r="J295" s="1">
        <f t="shared" si="9"/>
        <v>293</v>
      </c>
    </row>
    <row r="296" spans="2:10">
      <c r="B296" s="1">
        <v>4</v>
      </c>
      <c r="C296" s="13"/>
      <c r="D296" s="1" t="b">
        <v>1</v>
      </c>
      <c r="E296" s="14" t="s">
        <v>2745</v>
      </c>
      <c r="F296" s="1" t="s">
        <v>2746</v>
      </c>
      <c r="H296" s="11">
        <v>45765</v>
      </c>
      <c r="I296" s="1" t="str">
        <f t="shared" ca="1" si="8"/>
        <v/>
      </c>
      <c r="J296" s="1">
        <f t="shared" si="9"/>
        <v>294</v>
      </c>
    </row>
    <row r="297" spans="2:10">
      <c r="B297" s="1">
        <v>4</v>
      </c>
      <c r="C297" s="13"/>
      <c r="D297" s="1" t="b">
        <v>1</v>
      </c>
      <c r="E297" s="14" t="s">
        <v>2747</v>
      </c>
      <c r="F297" s="1" t="s">
        <v>2748</v>
      </c>
      <c r="H297" s="11">
        <v>45765</v>
      </c>
      <c r="I297" s="1" t="str">
        <f t="shared" ca="1" si="8"/>
        <v/>
      </c>
      <c r="J297" s="1">
        <f t="shared" si="9"/>
        <v>295</v>
      </c>
    </row>
    <row r="298" spans="2:10">
      <c r="B298" s="1">
        <v>4</v>
      </c>
      <c r="D298" s="1" t="b">
        <v>1</v>
      </c>
      <c r="E298" s="6" t="s">
        <v>2749</v>
      </c>
      <c r="F298" s="13" t="s">
        <v>2750</v>
      </c>
      <c r="H298" s="11">
        <v>45765</v>
      </c>
      <c r="I298" s="1" t="str">
        <f t="shared" ca="1" si="8"/>
        <v/>
      </c>
      <c r="J298" s="1">
        <f t="shared" si="9"/>
        <v>296</v>
      </c>
    </row>
    <row r="299" spans="2:10">
      <c r="B299" s="1">
        <v>4</v>
      </c>
      <c r="D299" s="1" t="b">
        <v>1</v>
      </c>
      <c r="E299" s="6" t="s">
        <v>2751</v>
      </c>
      <c r="F299" s="13" t="s">
        <v>2752</v>
      </c>
      <c r="H299" s="11">
        <v>45765</v>
      </c>
      <c r="I299" s="1" t="str">
        <f t="shared" ca="1" si="8"/>
        <v/>
      </c>
      <c r="J299" s="1">
        <f t="shared" si="9"/>
        <v>297</v>
      </c>
    </row>
    <row r="300" spans="2:10">
      <c r="B300" s="1">
        <v>4</v>
      </c>
      <c r="D300" s="1" t="b">
        <v>1</v>
      </c>
      <c r="E300" s="6" t="s">
        <v>2753</v>
      </c>
      <c r="F300" s="13" t="s">
        <v>2754</v>
      </c>
      <c r="H300" s="11">
        <v>45765</v>
      </c>
      <c r="I300" s="1" t="str">
        <f t="shared" ca="1" si="8"/>
        <v/>
      </c>
      <c r="J300" s="1">
        <f t="shared" si="9"/>
        <v>298</v>
      </c>
    </row>
    <row r="301" spans="2:10">
      <c r="B301" s="1">
        <v>4</v>
      </c>
      <c r="D301" s="1" t="b">
        <v>1</v>
      </c>
      <c r="E301" s="6" t="s">
        <v>2755</v>
      </c>
      <c r="F301" s="13" t="s">
        <v>2756</v>
      </c>
      <c r="H301" s="11">
        <v>45765</v>
      </c>
      <c r="I301" s="1" t="str">
        <f t="shared" ca="1" si="8"/>
        <v/>
      </c>
      <c r="J301" s="1">
        <f t="shared" si="9"/>
        <v>299</v>
      </c>
    </row>
    <row r="302" spans="2:10">
      <c r="B302" s="1">
        <v>4</v>
      </c>
      <c r="D302" s="1" t="b">
        <v>1</v>
      </c>
      <c r="E302" s="6" t="s">
        <v>2757</v>
      </c>
      <c r="F302" s="13" t="s">
        <v>2758</v>
      </c>
      <c r="H302" s="11">
        <v>45765</v>
      </c>
      <c r="I302" s="1" t="str">
        <f t="shared" ca="1" si="8"/>
        <v/>
      </c>
      <c r="J302" s="1">
        <f t="shared" si="9"/>
        <v>300</v>
      </c>
    </row>
    <row r="303" spans="2:10">
      <c r="B303" s="1">
        <v>4</v>
      </c>
      <c r="C303" s="13"/>
      <c r="D303" s="5" t="b">
        <v>1</v>
      </c>
      <c r="E303" s="6" t="s">
        <v>2759</v>
      </c>
      <c r="F303" s="1" t="s">
        <v>2760</v>
      </c>
      <c r="H303" s="11">
        <v>45766</v>
      </c>
      <c r="I303" s="1" t="str">
        <f t="shared" ca="1" si="8"/>
        <v/>
      </c>
      <c r="J303" s="1">
        <f t="shared" si="9"/>
        <v>301</v>
      </c>
    </row>
    <row r="304" spans="2:10">
      <c r="B304" s="1">
        <v>4</v>
      </c>
      <c r="C304" s="13"/>
      <c r="D304" s="1" t="b">
        <v>1</v>
      </c>
      <c r="E304" s="14" t="s">
        <v>2761</v>
      </c>
      <c r="F304" s="1" t="s">
        <v>2762</v>
      </c>
      <c r="H304" s="11">
        <v>45766</v>
      </c>
      <c r="I304" s="1" t="str">
        <f t="shared" ca="1" si="8"/>
        <v/>
      </c>
      <c r="J304" s="1">
        <f t="shared" si="9"/>
        <v>302</v>
      </c>
    </row>
    <row r="305" spans="2:10">
      <c r="B305" s="1">
        <v>4</v>
      </c>
      <c r="C305" s="13"/>
      <c r="D305" s="1" t="b">
        <v>1</v>
      </c>
      <c r="E305" s="14" t="s">
        <v>2763</v>
      </c>
      <c r="F305" s="1" t="s">
        <v>2764</v>
      </c>
      <c r="H305" s="11">
        <v>45766</v>
      </c>
      <c r="I305" s="1" t="str">
        <f t="shared" ca="1" si="8"/>
        <v/>
      </c>
      <c r="J305" s="1">
        <f t="shared" si="9"/>
        <v>303</v>
      </c>
    </row>
    <row r="306" spans="2:10">
      <c r="B306" s="1">
        <v>4</v>
      </c>
      <c r="C306" s="13"/>
      <c r="D306" s="1" t="b">
        <v>1</v>
      </c>
      <c r="E306" s="14" t="s">
        <v>2765</v>
      </c>
      <c r="F306" s="1" t="s">
        <v>2766</v>
      </c>
      <c r="H306" s="11">
        <v>45766</v>
      </c>
      <c r="I306" s="1" t="str">
        <f t="shared" ca="1" si="8"/>
        <v/>
      </c>
      <c r="J306" s="1">
        <f t="shared" si="9"/>
        <v>304</v>
      </c>
    </row>
    <row r="307" spans="2:10">
      <c r="B307" s="1">
        <v>4</v>
      </c>
      <c r="C307" s="13"/>
      <c r="D307" s="1" t="b">
        <v>1</v>
      </c>
      <c r="E307" s="14" t="s">
        <v>2767</v>
      </c>
      <c r="F307" s="13" t="s">
        <v>2768</v>
      </c>
      <c r="H307" s="11">
        <v>45766</v>
      </c>
      <c r="I307" s="1" t="str">
        <f t="shared" ca="1" si="8"/>
        <v/>
      </c>
      <c r="J307" s="1">
        <f t="shared" si="9"/>
        <v>305</v>
      </c>
    </row>
    <row r="308" spans="2:10">
      <c r="B308" s="1">
        <v>4</v>
      </c>
      <c r="C308" s="13"/>
      <c r="D308" s="1" t="b">
        <v>1</v>
      </c>
      <c r="E308" s="14" t="s">
        <v>2769</v>
      </c>
      <c r="F308" s="1" t="s">
        <v>2770</v>
      </c>
      <c r="H308" s="11">
        <v>45766</v>
      </c>
      <c r="I308" s="1" t="str">
        <f t="shared" ca="1" si="8"/>
        <v/>
      </c>
      <c r="J308" s="1">
        <f t="shared" si="9"/>
        <v>306</v>
      </c>
    </row>
    <row r="309" spans="2:10">
      <c r="B309" s="1">
        <v>4</v>
      </c>
      <c r="C309" s="13"/>
      <c r="D309" s="1" t="b">
        <v>1</v>
      </c>
      <c r="E309" s="14" t="s">
        <v>2771</v>
      </c>
      <c r="F309" s="13" t="s">
        <v>2772</v>
      </c>
      <c r="H309" s="11">
        <v>45766</v>
      </c>
      <c r="I309" s="1" t="str">
        <f t="shared" ca="1" si="8"/>
        <v/>
      </c>
      <c r="J309" s="1">
        <f t="shared" si="9"/>
        <v>307</v>
      </c>
    </row>
    <row r="310" spans="2:10">
      <c r="B310" s="1">
        <v>4</v>
      </c>
      <c r="C310" s="13"/>
      <c r="D310" s="1" t="b">
        <v>1</v>
      </c>
      <c r="E310" s="6" t="s">
        <v>2773</v>
      </c>
      <c r="F310" s="13" t="s">
        <v>2774</v>
      </c>
      <c r="H310" s="11">
        <v>45766</v>
      </c>
      <c r="I310" s="1" t="str">
        <f t="shared" ca="1" si="8"/>
        <v/>
      </c>
      <c r="J310" s="1">
        <f t="shared" si="9"/>
        <v>308</v>
      </c>
    </row>
    <row r="311" spans="2:10">
      <c r="B311" s="1">
        <v>4</v>
      </c>
      <c r="C311" s="13"/>
      <c r="D311" s="1" t="b">
        <v>1</v>
      </c>
      <c r="E311" s="6" t="s">
        <v>2775</v>
      </c>
      <c r="F311" s="13" t="s">
        <v>2776</v>
      </c>
      <c r="H311" s="11">
        <v>45766</v>
      </c>
      <c r="I311" s="1" t="str">
        <f t="shared" ca="1" si="8"/>
        <v/>
      </c>
      <c r="J311" s="1">
        <f t="shared" si="9"/>
        <v>309</v>
      </c>
    </row>
    <row r="312" spans="2:10">
      <c r="B312" s="1">
        <v>4</v>
      </c>
      <c r="C312" s="13"/>
      <c r="D312" s="1" t="b">
        <v>1</v>
      </c>
      <c r="E312" s="6" t="s">
        <v>2777</v>
      </c>
      <c r="F312" s="13" t="s">
        <v>2778</v>
      </c>
      <c r="H312" s="11">
        <v>45766</v>
      </c>
      <c r="I312" s="1" t="str">
        <f t="shared" ca="1" si="8"/>
        <v/>
      </c>
      <c r="J312" s="1">
        <f t="shared" si="9"/>
        <v>310</v>
      </c>
    </row>
    <row r="313" spans="2:10">
      <c r="B313" s="1">
        <v>4</v>
      </c>
      <c r="C313" s="13"/>
      <c r="D313" s="1" t="b">
        <v>1</v>
      </c>
      <c r="E313" s="6" t="s">
        <v>2779</v>
      </c>
      <c r="F313" s="13" t="s">
        <v>2780</v>
      </c>
      <c r="H313" s="11">
        <v>45766</v>
      </c>
      <c r="I313" s="1" t="str">
        <f t="shared" ca="1" si="8"/>
        <v/>
      </c>
      <c r="J313" s="1">
        <f t="shared" si="9"/>
        <v>311</v>
      </c>
    </row>
    <row r="314" spans="2:10">
      <c r="B314" s="1">
        <v>2</v>
      </c>
      <c r="D314" s="1" t="b">
        <v>1</v>
      </c>
      <c r="E314" s="14" t="s">
        <v>2913</v>
      </c>
      <c r="F314" s="13" t="s">
        <v>2912</v>
      </c>
      <c r="H314" s="11">
        <v>45747</v>
      </c>
      <c r="I314" s="1" t="str">
        <f t="shared" ca="1" si="8"/>
        <v/>
      </c>
      <c r="J314" s="1">
        <f t="shared" si="9"/>
        <v>312</v>
      </c>
    </row>
    <row r="315" spans="2:10">
      <c r="B315" s="1">
        <v>2</v>
      </c>
      <c r="D315" s="1" t="b">
        <v>1</v>
      </c>
      <c r="E315" s="14" t="s">
        <v>2915</v>
      </c>
      <c r="F315" s="13" t="s">
        <v>2914</v>
      </c>
      <c r="H315" s="11">
        <v>45747</v>
      </c>
      <c r="I315" s="1" t="str">
        <f t="shared" ref="I315:I322" ca="1" si="10">IF(H315-$G$1&lt;=0,"●","")</f>
        <v/>
      </c>
      <c r="J315" s="1">
        <f t="shared" ref="J315:J322" si="11">ROW()-2</f>
        <v>313</v>
      </c>
    </row>
    <row r="316" spans="2:10">
      <c r="B316" s="1">
        <v>2</v>
      </c>
      <c r="D316" s="1" t="b">
        <v>1</v>
      </c>
      <c r="E316" s="14" t="s">
        <v>2918</v>
      </c>
      <c r="F316" s="13" t="s">
        <v>2916</v>
      </c>
      <c r="H316" s="11">
        <v>45747</v>
      </c>
      <c r="I316" s="1" t="str">
        <f t="shared" ca="1" si="10"/>
        <v/>
      </c>
      <c r="J316" s="1">
        <f t="shared" si="11"/>
        <v>314</v>
      </c>
    </row>
    <row r="317" spans="2:10">
      <c r="B317" s="1">
        <v>2</v>
      </c>
      <c r="D317" s="1" t="b">
        <v>1</v>
      </c>
      <c r="E317" s="14" t="s">
        <v>2919</v>
      </c>
      <c r="F317" s="1" t="s">
        <v>2917</v>
      </c>
      <c r="H317" s="11">
        <v>45747</v>
      </c>
      <c r="I317" s="1" t="str">
        <f t="shared" ca="1" si="10"/>
        <v/>
      </c>
      <c r="J317" s="1">
        <f t="shared" si="11"/>
        <v>315</v>
      </c>
    </row>
    <row r="318" spans="2:10">
      <c r="B318" s="1">
        <v>2</v>
      </c>
      <c r="D318" s="1" t="b">
        <v>1</v>
      </c>
      <c r="E318" s="14" t="s">
        <v>2921</v>
      </c>
      <c r="F318" s="13" t="s">
        <v>2920</v>
      </c>
      <c r="H318" s="11">
        <v>45747</v>
      </c>
      <c r="I318" s="1" t="str">
        <f t="shared" ca="1" si="10"/>
        <v/>
      </c>
      <c r="J318" s="1">
        <f t="shared" si="11"/>
        <v>316</v>
      </c>
    </row>
    <row r="319" spans="2:10">
      <c r="B319" s="1">
        <v>2</v>
      </c>
      <c r="D319" s="1" t="b">
        <v>1</v>
      </c>
      <c r="E319" s="14" t="s">
        <v>2926</v>
      </c>
      <c r="F319" s="13" t="s">
        <v>2922</v>
      </c>
      <c r="H319" s="11">
        <v>45747</v>
      </c>
      <c r="I319" s="1" t="str">
        <f t="shared" ca="1" si="10"/>
        <v/>
      </c>
      <c r="J319" s="1">
        <f t="shared" si="11"/>
        <v>317</v>
      </c>
    </row>
    <row r="320" spans="2:10">
      <c r="B320" s="1">
        <v>2</v>
      </c>
      <c r="D320" s="1" t="b">
        <v>1</v>
      </c>
      <c r="E320" s="14" t="s">
        <v>2927</v>
      </c>
      <c r="F320" s="13" t="s">
        <v>2923</v>
      </c>
      <c r="H320" s="11">
        <v>45747</v>
      </c>
      <c r="I320" s="1" t="str">
        <f t="shared" ca="1" si="10"/>
        <v/>
      </c>
      <c r="J320" s="1">
        <f t="shared" si="11"/>
        <v>318</v>
      </c>
    </row>
    <row r="321" spans="2:10">
      <c r="B321" s="1">
        <v>2</v>
      </c>
      <c r="D321" s="1" t="b">
        <v>1</v>
      </c>
      <c r="E321" s="14" t="s">
        <v>2928</v>
      </c>
      <c r="F321" s="13" t="s">
        <v>2924</v>
      </c>
      <c r="H321" s="11">
        <v>45747</v>
      </c>
      <c r="I321" s="1" t="str">
        <f t="shared" ca="1" si="10"/>
        <v/>
      </c>
      <c r="J321" s="1">
        <f t="shared" si="11"/>
        <v>319</v>
      </c>
    </row>
    <row r="322" spans="2:10">
      <c r="B322" s="1">
        <v>2</v>
      </c>
      <c r="D322" s="1" t="b">
        <v>1</v>
      </c>
      <c r="E322" s="14" t="s">
        <v>2929</v>
      </c>
      <c r="F322" s="13" t="s">
        <v>2925</v>
      </c>
      <c r="H322" s="11">
        <v>45747</v>
      </c>
      <c r="I322" s="1" t="str">
        <f t="shared" ca="1" si="10"/>
        <v/>
      </c>
      <c r="J322" s="1">
        <f t="shared" si="11"/>
        <v>320</v>
      </c>
    </row>
    <row r="323" spans="2:10">
      <c r="B323" s="1">
        <v>0</v>
      </c>
      <c r="D323" s="1" t="b">
        <v>0</v>
      </c>
      <c r="E323" s="14" t="s">
        <v>2931</v>
      </c>
      <c r="F323" s="1" t="s">
        <v>2930</v>
      </c>
      <c r="H323" s="11">
        <v>45745</v>
      </c>
      <c r="I323" s="47" t="str">
        <f ca="1">IF(H323-$G$1&lt;=0,"●","")</f>
        <v>●</v>
      </c>
      <c r="J323" s="1">
        <f>ROW()-2</f>
        <v>321</v>
      </c>
    </row>
    <row r="324" spans="2:10">
      <c r="B324" s="1">
        <v>0</v>
      </c>
      <c r="D324" s="1" t="b">
        <v>0</v>
      </c>
      <c r="E324" s="14" t="s">
        <v>2933</v>
      </c>
      <c r="F324" s="1" t="s">
        <v>2932</v>
      </c>
      <c r="H324" s="11">
        <v>45745</v>
      </c>
      <c r="I324" s="47" t="str">
        <f ca="1">IF(H324-$G$1&lt;=0,"●","")</f>
        <v>●</v>
      </c>
      <c r="J324" s="1">
        <f>ROW()-2</f>
        <v>322</v>
      </c>
    </row>
    <row r="325" spans="2:10">
      <c r="B325" s="1">
        <v>0</v>
      </c>
      <c r="D325" s="1" t="b">
        <v>0</v>
      </c>
      <c r="E325" s="14" t="s">
        <v>2935</v>
      </c>
      <c r="F325" s="1" t="s">
        <v>2934</v>
      </c>
      <c r="H325" s="11">
        <v>45745</v>
      </c>
      <c r="I325" s="47" t="str">
        <f ca="1">IF(H325-$G$1&lt;=0,"●","")</f>
        <v>●</v>
      </c>
      <c r="J325" s="1">
        <f>ROW()-2</f>
        <v>323</v>
      </c>
    </row>
    <row r="326" spans="2:10">
      <c r="B326" s="1">
        <v>0</v>
      </c>
      <c r="D326" s="1" t="b">
        <v>0</v>
      </c>
      <c r="E326" s="14" t="s">
        <v>2937</v>
      </c>
      <c r="F326" s="1" t="s">
        <v>2936</v>
      </c>
      <c r="H326" s="11">
        <v>45745</v>
      </c>
      <c r="I326" s="47" t="str">
        <f ca="1">IF(H326-$G$1&lt;=0,"●","")</f>
        <v>●</v>
      </c>
      <c r="J326" s="1">
        <f>ROW()-2</f>
        <v>324</v>
      </c>
    </row>
    <row r="327" spans="2:10">
      <c r="B327" s="1">
        <v>0</v>
      </c>
      <c r="D327" s="1" t="b">
        <v>0</v>
      </c>
      <c r="E327" s="14" t="s">
        <v>2939</v>
      </c>
      <c r="F327" s="1" t="s">
        <v>2938</v>
      </c>
      <c r="H327" s="11">
        <v>45745</v>
      </c>
      <c r="I327" s="47" t="str">
        <f ca="1">IF(H327-$G$1&lt;=0,"●","")</f>
        <v>●</v>
      </c>
      <c r="J327" s="1">
        <f>ROW()-2</f>
        <v>325</v>
      </c>
    </row>
    <row r="328" spans="2:10">
      <c r="B328" s="1">
        <v>0</v>
      </c>
      <c r="D328" s="1" t="b">
        <v>0</v>
      </c>
      <c r="E328" s="14" t="s">
        <v>2941</v>
      </c>
      <c r="F328" s="1" t="s">
        <v>2940</v>
      </c>
      <c r="H328" s="11">
        <v>45745</v>
      </c>
      <c r="I328" s="47" t="str">
        <f ca="1">IF(H328-$G$1&lt;=0,"●","")</f>
        <v>●</v>
      </c>
      <c r="J328" s="1">
        <f>ROW()-2</f>
        <v>326</v>
      </c>
    </row>
    <row r="329" spans="2:10">
      <c r="B329" s="1">
        <v>0</v>
      </c>
      <c r="D329" s="1" t="b">
        <v>0</v>
      </c>
      <c r="E329" s="14" t="s">
        <v>2943</v>
      </c>
      <c r="F329" s="1" t="s">
        <v>2942</v>
      </c>
      <c r="H329" s="11">
        <v>45745</v>
      </c>
      <c r="I329" s="47" t="str">
        <f ca="1">IF(H329-$G$1&lt;=0,"●","")</f>
        <v>●</v>
      </c>
      <c r="J329" s="1">
        <f>ROW()-2</f>
        <v>327</v>
      </c>
    </row>
    <row r="330" spans="2:10">
      <c r="B330" s="1">
        <v>0</v>
      </c>
      <c r="D330" s="1" t="b">
        <v>0</v>
      </c>
      <c r="E330" s="14" t="s">
        <v>2945</v>
      </c>
      <c r="F330" s="1" t="s">
        <v>2944</v>
      </c>
      <c r="H330" s="11">
        <v>45745</v>
      </c>
      <c r="I330" s="47" t="str">
        <f ca="1">IF(H330-$G$1&lt;=0,"●","")</f>
        <v>●</v>
      </c>
      <c r="J330" s="1">
        <f>ROW()-2</f>
        <v>328</v>
      </c>
    </row>
    <row r="331" spans="2:10">
      <c r="B331" s="1">
        <v>0</v>
      </c>
      <c r="D331" s="1" t="b">
        <v>0</v>
      </c>
      <c r="E331" s="14" t="s">
        <v>2947</v>
      </c>
      <c r="F331" s="1" t="s">
        <v>2946</v>
      </c>
      <c r="H331" s="11">
        <v>45745</v>
      </c>
      <c r="I331" s="47" t="str">
        <f ca="1">IF(H331-$G$1&lt;=0,"●","")</f>
        <v>●</v>
      </c>
      <c r="J331" s="1">
        <f>ROW()-2</f>
        <v>329</v>
      </c>
    </row>
    <row r="332" spans="2:10">
      <c r="B332" s="1">
        <v>0</v>
      </c>
      <c r="D332" s="1" t="b">
        <v>0</v>
      </c>
      <c r="E332" s="14" t="s">
        <v>2949</v>
      </c>
      <c r="F332" s="1" t="s">
        <v>2948</v>
      </c>
      <c r="H332" s="11">
        <v>45745</v>
      </c>
      <c r="I332" s="47" t="str">
        <f ca="1">IF(H332-$G$1&lt;=0,"●","")</f>
        <v>●</v>
      </c>
      <c r="J332" s="1">
        <f>ROW()-2</f>
        <v>330</v>
      </c>
    </row>
    <row r="333" spans="2:10">
      <c r="B333" s="1">
        <v>0</v>
      </c>
      <c r="D333" s="1" t="b">
        <v>0</v>
      </c>
      <c r="E333" s="6"/>
      <c r="F333" s="1">
        <v>7</v>
      </c>
      <c r="H333" s="11">
        <v>45745</v>
      </c>
      <c r="I333" s="47" t="str">
        <f ca="1">IF(H333-$G$1&lt;=0,"●","")</f>
        <v>●</v>
      </c>
      <c r="J333" s="1">
        <f>ROW()-2</f>
        <v>331</v>
      </c>
    </row>
  </sheetData>
  <phoneticPr fontId="1"/>
  <conditionalFormatting sqref="E3:E333">
    <cfRule type="expression" dxfId="44" priority="2">
      <formula>OR($E$1=1,AND(MOD(ROW(),2)=1,OR($C3="]",$C3="ま")))</formula>
    </cfRule>
    <cfRule type="expression" dxfId="43" priority="3" stopIfTrue="1">
      <formula>AND(MOD(ROW(),2)=0,OR($C3="]",$C3="ま"))</formula>
    </cfRule>
  </conditionalFormatting>
  <conditionalFormatting sqref="F3:G333 B3:D333">
    <cfRule type="expression" dxfId="42" priority="4" stopIfTrue="1">
      <formula>MOD(ROW(),2)=1</formula>
    </cfRule>
    <cfRule type="expression" dxfId="41" priority="5" stopIfTrue="1">
      <formula>MOD(ROW(),2)=0</formula>
    </cfRule>
  </conditionalFormatting>
  <conditionalFormatting sqref="B3:B333">
    <cfRule type="colorScale" priority="1">
      <colorScale>
        <cfvo type="min"/>
        <cfvo type="max"/>
        <color rgb="FF972B42"/>
        <color rgb="FF232B89"/>
      </colorScale>
    </cfRule>
  </conditionalFormatting>
  <dataValidations count="2">
    <dataValidation type="list" allowBlank="1" showInputMessage="1" showErrorMessage="1" sqref="D3:D333" xr:uid="{881B5E32-DA59-3042-A1BA-8BF92BA1A447}">
      <formula1>"True,False"</formula1>
    </dataValidation>
    <dataValidation type="list" allowBlank="1" showInputMessage="1" showErrorMessage="1" sqref="C3:C333" xr:uid="{6E262616-1E60-4C41-B17B-85C68B90E80E}">
      <formula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
                <anchor moveWithCells="1" sizeWithCells="1">
                  <from>
                    <xdr:col>1</xdr:col>
                    <xdr:colOff>25400</xdr:colOff>
                    <xdr:row>0</xdr:row>
                    <xdr:rowOff>50800</xdr:rowOff>
                  </from>
                  <to>
                    <xdr:col>1</xdr:col>
                    <xdr:colOff>685800</xdr:colOff>
                    <xdr:row>0</xdr:row>
                    <xdr:rowOff>419100</xdr:rowOff>
                  </to>
                </anchor>
              </controlPr>
            </control>
          </mc:Choice>
        </mc:AlternateContent>
        <mc:AlternateContent xmlns:mc="http://schemas.openxmlformats.org/markup-compatibility/2006">
          <mc:Choice Requires="x14">
            <control shapeId="6146" r:id="rId4" name="Option Button 2">
              <controlPr defaultSize="0" autoFill="0" autoLine="0" autoPict="0">
                <anchor moveWithCells="1">
                  <from>
                    <xdr:col>2</xdr:col>
                    <xdr:colOff>12700</xdr:colOff>
                    <xdr:row>0</xdr:row>
                    <xdr:rowOff>266700</xdr:rowOff>
                  </from>
                  <to>
                    <xdr:col>2</xdr:col>
                    <xdr:colOff>266700</xdr:colOff>
                    <xdr:row>0</xdr:row>
                    <xdr:rowOff>431800</xdr:rowOff>
                  </to>
                </anchor>
              </controlPr>
            </control>
          </mc:Choice>
        </mc:AlternateContent>
        <mc:AlternateContent xmlns:mc="http://schemas.openxmlformats.org/markup-compatibility/2006">
          <mc:Choice Requires="x14">
            <control shapeId="6147" r:id="rId5" name="Option Button 3">
              <controlPr defaultSize="0" autoFill="0" autoLine="0" autoPict="0">
                <anchor moveWithCells="1">
                  <from>
                    <xdr:col>2</xdr:col>
                    <xdr:colOff>12700</xdr:colOff>
                    <xdr:row>0</xdr:row>
                    <xdr:rowOff>76200</xdr:rowOff>
                  </from>
                  <to>
                    <xdr:col>3</xdr:col>
                    <xdr:colOff>0</xdr:colOff>
                    <xdr:row>0</xdr:row>
                    <xdr:rowOff>241300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E7C82-4833-C14F-B430-69C4B12801B7}">
  <sheetPr codeName="Sheet4">
    <tabColor rgb="FF00B050"/>
  </sheetPr>
  <dimension ref="B1:J64"/>
  <sheetViews>
    <sheetView zoomScale="181" zoomScaleNormal="181" workbookViewId="0">
      <pane ySplit="2" topLeftCell="A3" activePane="bottomLeft" state="frozen"/>
      <selection activeCell="E1" sqref="E1"/>
      <selection pane="bottomLeft" activeCell="E1" sqref="E1"/>
    </sheetView>
  </sheetViews>
  <sheetFormatPr baseColWidth="10" defaultColWidth="10.6640625" defaultRowHeight="13"/>
  <cols>
    <col min="1" max="1" width="3.83203125" style="16" customWidth="1"/>
    <col min="2" max="2" width="8.6640625" style="16" customWidth="1"/>
    <col min="3" max="3" width="3.6640625" style="16" customWidth="1"/>
    <col min="4" max="4" width="8.1640625" style="16" customWidth="1"/>
    <col min="5" max="5" width="56.83203125" style="16" bestFit="1" customWidth="1"/>
    <col min="6" max="6" width="51.33203125" style="16" bestFit="1" customWidth="1"/>
    <col min="7" max="16384" width="10.6640625" style="16"/>
  </cols>
  <sheetData>
    <row r="1" spans="2:10" ht="40" customHeight="1">
      <c r="C1" s="17"/>
      <c r="D1" s="18" t="s">
        <v>0</v>
      </c>
      <c r="E1" s="19">
        <v>2</v>
      </c>
      <c r="F1" s="19" t="str">
        <f ca="1">"FALSE " &amp; COUNTIF(テーブル35[True or False],FALSE)&amp;"/TEST " &amp; COUNTIFS(テーブル35[deadline],"●")-(COUNTIFS(テーブル35[deadline],"●", テーブル35[列1],"]")+COUNTIFS(テーブル35[deadline],"●", テーブル35[列1],"ま"))</f>
        <v>FALSE 28/TEST 62</v>
      </c>
      <c r="G1" s="20">
        <f ca="1">TODAY()</f>
        <v>45745</v>
      </c>
      <c r="J1" s="21" t="s">
        <v>2781</v>
      </c>
    </row>
    <row r="2" spans="2:10">
      <c r="B2" s="4" t="s">
        <v>1</v>
      </c>
      <c r="C2" s="4" t="s">
        <v>2</v>
      </c>
      <c r="D2" s="4" t="s">
        <v>2157</v>
      </c>
      <c r="E2" s="4" t="s">
        <v>4</v>
      </c>
      <c r="F2" s="4" t="s">
        <v>5</v>
      </c>
      <c r="G2" s="4" t="s">
        <v>6</v>
      </c>
      <c r="H2" s="22" t="s">
        <v>7</v>
      </c>
      <c r="I2" s="23" t="s">
        <v>8</v>
      </c>
      <c r="J2" s="23" t="s">
        <v>9</v>
      </c>
    </row>
    <row r="3" spans="2:10">
      <c r="B3" s="24">
        <v>2</v>
      </c>
      <c r="C3" s="25"/>
      <c r="D3" s="24" t="b">
        <v>1</v>
      </c>
      <c r="E3" s="26" t="s">
        <v>2782</v>
      </c>
      <c r="F3" s="27" t="s">
        <v>2783</v>
      </c>
      <c r="G3" s="24"/>
      <c r="H3" s="28">
        <v>45679</v>
      </c>
      <c r="I3" s="16" t="str">
        <f t="shared" ref="I3:I14" ca="1" si="0">IF(H3-$G$1&lt;=0,"●","")</f>
        <v>●</v>
      </c>
      <c r="J3" s="16">
        <f>ROW()-2</f>
        <v>1</v>
      </c>
    </row>
    <row r="4" spans="2:10">
      <c r="B4" s="24">
        <v>2</v>
      </c>
      <c r="C4" s="25"/>
      <c r="D4" s="24" t="b">
        <v>1</v>
      </c>
      <c r="E4" s="26" t="s">
        <v>2784</v>
      </c>
      <c r="F4" s="27" t="s">
        <v>2785</v>
      </c>
      <c r="G4" s="24"/>
      <c r="H4" s="28">
        <v>45679</v>
      </c>
      <c r="I4" s="16" t="str">
        <f t="shared" ca="1" si="0"/>
        <v>●</v>
      </c>
      <c r="J4" s="16">
        <f t="shared" ref="J4:J15" si="1">ROW()-2</f>
        <v>2</v>
      </c>
    </row>
    <row r="5" spans="2:10">
      <c r="B5" s="24">
        <v>1</v>
      </c>
      <c r="C5" s="25"/>
      <c r="D5" s="24" t="b">
        <v>1</v>
      </c>
      <c r="E5" s="26" t="s">
        <v>2786</v>
      </c>
      <c r="F5" s="27" t="s">
        <v>2787</v>
      </c>
      <c r="G5" s="24"/>
      <c r="H5" s="28">
        <v>45677</v>
      </c>
      <c r="I5" s="16" t="str">
        <f t="shared" ca="1" si="0"/>
        <v>●</v>
      </c>
      <c r="J5" s="16">
        <f t="shared" si="1"/>
        <v>3</v>
      </c>
    </row>
    <row r="6" spans="2:10">
      <c r="B6" s="24">
        <v>2</v>
      </c>
      <c r="C6" s="25"/>
      <c r="D6" s="24" t="b">
        <v>1</v>
      </c>
      <c r="E6" s="26" t="s">
        <v>2788</v>
      </c>
      <c r="F6" s="27" t="s">
        <v>2789</v>
      </c>
      <c r="G6" s="24"/>
      <c r="H6" s="28">
        <v>45679</v>
      </c>
      <c r="I6" s="16" t="str">
        <f t="shared" ca="1" si="0"/>
        <v>●</v>
      </c>
      <c r="J6" s="16">
        <f t="shared" si="1"/>
        <v>4</v>
      </c>
    </row>
    <row r="7" spans="2:10">
      <c r="B7" s="24">
        <v>2</v>
      </c>
      <c r="C7" s="25"/>
      <c r="D7" s="24" t="b">
        <v>1</v>
      </c>
      <c r="E7" s="26" t="s">
        <v>2790</v>
      </c>
      <c r="F7" s="27" t="s">
        <v>2791</v>
      </c>
      <c r="G7" s="24"/>
      <c r="H7" s="28">
        <v>45679</v>
      </c>
      <c r="I7" s="16" t="str">
        <f t="shared" ca="1" si="0"/>
        <v>●</v>
      </c>
      <c r="J7" s="16">
        <f t="shared" si="1"/>
        <v>5</v>
      </c>
    </row>
    <row r="8" spans="2:10">
      <c r="B8" s="24">
        <v>1</v>
      </c>
      <c r="C8" s="25"/>
      <c r="D8" s="24" t="b">
        <v>1</v>
      </c>
      <c r="E8" s="26" t="s">
        <v>2792</v>
      </c>
      <c r="F8" s="27" t="s">
        <v>2793</v>
      </c>
      <c r="G8" s="24"/>
      <c r="H8" s="28">
        <v>45677</v>
      </c>
      <c r="I8" s="16" t="str">
        <f t="shared" ca="1" si="0"/>
        <v>●</v>
      </c>
      <c r="J8" s="16">
        <f t="shared" si="1"/>
        <v>6</v>
      </c>
    </row>
    <row r="9" spans="2:10">
      <c r="B9" s="24">
        <v>1</v>
      </c>
      <c r="C9" s="25"/>
      <c r="D9" s="24" t="b">
        <v>1</v>
      </c>
      <c r="E9" s="26" t="s">
        <v>2794</v>
      </c>
      <c r="F9" s="27" t="s">
        <v>2795</v>
      </c>
      <c r="G9" s="24"/>
      <c r="H9" s="28">
        <v>45677</v>
      </c>
      <c r="I9" s="16" t="str">
        <f t="shared" ca="1" si="0"/>
        <v>●</v>
      </c>
      <c r="J9" s="16">
        <f t="shared" si="1"/>
        <v>7</v>
      </c>
    </row>
    <row r="10" spans="2:10">
      <c r="B10" s="24">
        <v>1</v>
      </c>
      <c r="C10" s="25"/>
      <c r="D10" s="24" t="b">
        <v>1</v>
      </c>
      <c r="E10" s="26" t="s">
        <v>2796</v>
      </c>
      <c r="F10" s="27" t="s">
        <v>2797</v>
      </c>
      <c r="G10" s="24"/>
      <c r="H10" s="28">
        <v>45677</v>
      </c>
      <c r="I10" s="16" t="str">
        <f t="shared" ca="1" si="0"/>
        <v>●</v>
      </c>
      <c r="J10" s="16">
        <f t="shared" si="1"/>
        <v>8</v>
      </c>
    </row>
    <row r="11" spans="2:10">
      <c r="B11" s="24">
        <v>2</v>
      </c>
      <c r="C11" s="25"/>
      <c r="D11" s="24" t="b">
        <v>1</v>
      </c>
      <c r="E11" s="26" t="s">
        <v>2798</v>
      </c>
      <c r="F11" s="27" t="s">
        <v>2799</v>
      </c>
      <c r="G11" s="24"/>
      <c r="H11" s="28">
        <v>45679</v>
      </c>
      <c r="I11" s="16" t="str">
        <f t="shared" ca="1" si="0"/>
        <v>●</v>
      </c>
      <c r="J11" s="16">
        <f t="shared" si="1"/>
        <v>9</v>
      </c>
    </row>
    <row r="12" spans="2:10">
      <c r="B12" s="24">
        <v>2</v>
      </c>
      <c r="C12" s="25"/>
      <c r="D12" s="24" t="b">
        <v>1</v>
      </c>
      <c r="E12" s="26" t="s">
        <v>2800</v>
      </c>
      <c r="F12" s="27" t="s">
        <v>2801</v>
      </c>
      <c r="G12" s="24"/>
      <c r="H12" s="28">
        <v>45679</v>
      </c>
      <c r="I12" s="16" t="str">
        <f t="shared" ca="1" si="0"/>
        <v>●</v>
      </c>
      <c r="J12" s="16">
        <f t="shared" si="1"/>
        <v>10</v>
      </c>
    </row>
    <row r="13" spans="2:10">
      <c r="B13" s="24">
        <v>2</v>
      </c>
      <c r="C13" s="29"/>
      <c r="D13" s="24" t="b">
        <v>1</v>
      </c>
      <c r="E13" s="26" t="s">
        <v>2802</v>
      </c>
      <c r="F13" s="27" t="s">
        <v>2803</v>
      </c>
      <c r="G13" s="24"/>
      <c r="H13" s="28">
        <v>45679</v>
      </c>
      <c r="I13" s="16" t="str">
        <f t="shared" ca="1" si="0"/>
        <v>●</v>
      </c>
      <c r="J13" s="16">
        <f t="shared" si="1"/>
        <v>11</v>
      </c>
    </row>
    <row r="14" spans="2:10">
      <c r="B14" s="24">
        <v>0</v>
      </c>
      <c r="C14" s="29"/>
      <c r="D14" s="24" t="b">
        <v>0</v>
      </c>
      <c r="E14" s="26" t="s">
        <v>2804</v>
      </c>
      <c r="F14" s="27" t="s">
        <v>2805</v>
      </c>
      <c r="G14" s="24"/>
      <c r="H14" s="28">
        <v>45676</v>
      </c>
      <c r="I14" s="16" t="str">
        <f t="shared" ca="1" si="0"/>
        <v>●</v>
      </c>
      <c r="J14" s="16">
        <f t="shared" si="1"/>
        <v>12</v>
      </c>
    </row>
    <row r="15" spans="2:10">
      <c r="B15" s="24">
        <v>0</v>
      </c>
      <c r="C15" s="29"/>
      <c r="D15" s="24" t="b">
        <v>0</v>
      </c>
      <c r="E15" s="26" t="s">
        <v>2806</v>
      </c>
      <c r="F15" s="27" t="s">
        <v>2807</v>
      </c>
      <c r="G15" s="24"/>
      <c r="H15" s="28">
        <v>45676</v>
      </c>
      <c r="I15" s="16" t="str">
        <f ca="1">IF(H15-$G$1&lt;=0,"●","")</f>
        <v>●</v>
      </c>
      <c r="J15" s="16">
        <f t="shared" si="1"/>
        <v>13</v>
      </c>
    </row>
    <row r="16" spans="2:10">
      <c r="B16" s="16">
        <v>2</v>
      </c>
      <c r="C16" s="29"/>
      <c r="D16" s="16" t="b">
        <v>1</v>
      </c>
      <c r="E16" s="26" t="s">
        <v>2808</v>
      </c>
      <c r="F16" s="30" t="s">
        <v>2809</v>
      </c>
      <c r="H16" s="28">
        <v>45679</v>
      </c>
      <c r="I16" s="16" t="str">
        <f t="shared" ref="I16:I47" ca="1" si="2">IF(H16-$G$1&lt;=0,"●","")</f>
        <v>●</v>
      </c>
      <c r="J16" s="16">
        <f t="shared" ref="J16:J47" si="3">ROW()-2</f>
        <v>14</v>
      </c>
    </row>
    <row r="17" spans="2:10">
      <c r="B17" s="16">
        <v>2</v>
      </c>
      <c r="C17" s="29"/>
      <c r="D17" s="16" t="b">
        <v>1</v>
      </c>
      <c r="E17" s="26" t="s">
        <v>2810</v>
      </c>
      <c r="F17" s="30" t="s">
        <v>2811</v>
      </c>
      <c r="H17" s="28">
        <v>45679</v>
      </c>
      <c r="I17" s="16" t="str">
        <f t="shared" ca="1" si="2"/>
        <v>●</v>
      </c>
      <c r="J17" s="16">
        <f t="shared" si="3"/>
        <v>15</v>
      </c>
    </row>
    <row r="18" spans="2:10">
      <c r="B18" s="16">
        <v>0</v>
      </c>
      <c r="C18" s="29"/>
      <c r="D18" s="16" t="b">
        <v>0</v>
      </c>
      <c r="E18" s="26" t="s">
        <v>2812</v>
      </c>
      <c r="F18" s="30" t="s">
        <v>2813</v>
      </c>
      <c r="H18" s="28">
        <v>45676</v>
      </c>
      <c r="I18" s="16" t="str">
        <f t="shared" ca="1" si="2"/>
        <v>●</v>
      </c>
      <c r="J18" s="16">
        <f t="shared" si="3"/>
        <v>16</v>
      </c>
    </row>
    <row r="19" spans="2:10">
      <c r="B19" s="16">
        <v>1</v>
      </c>
      <c r="C19" s="29"/>
      <c r="D19" s="16" t="b">
        <v>1</v>
      </c>
      <c r="E19" s="26" t="s">
        <v>2814</v>
      </c>
      <c r="F19" s="30" t="s">
        <v>2815</v>
      </c>
      <c r="H19" s="28">
        <v>45677</v>
      </c>
      <c r="I19" s="16" t="str">
        <f t="shared" ca="1" si="2"/>
        <v>●</v>
      </c>
      <c r="J19" s="16">
        <f t="shared" si="3"/>
        <v>17</v>
      </c>
    </row>
    <row r="20" spans="2:10">
      <c r="B20" s="16">
        <v>0</v>
      </c>
      <c r="C20" s="29"/>
      <c r="D20" s="16" t="b">
        <v>0</v>
      </c>
      <c r="E20" s="26" t="s">
        <v>2816</v>
      </c>
      <c r="F20" s="30" t="s">
        <v>2817</v>
      </c>
      <c r="H20" s="28">
        <v>45676</v>
      </c>
      <c r="I20" s="16" t="str">
        <f t="shared" ca="1" si="2"/>
        <v>●</v>
      </c>
      <c r="J20" s="16">
        <f t="shared" si="3"/>
        <v>18</v>
      </c>
    </row>
    <row r="21" spans="2:10">
      <c r="B21" s="16">
        <v>1</v>
      </c>
      <c r="C21" s="29"/>
      <c r="D21" s="16" t="b">
        <v>1</v>
      </c>
      <c r="E21" s="26" t="s">
        <v>2818</v>
      </c>
      <c r="F21" s="30" t="s">
        <v>2819</v>
      </c>
      <c r="H21" s="28">
        <v>45677</v>
      </c>
      <c r="I21" s="16" t="str">
        <f t="shared" ca="1" si="2"/>
        <v>●</v>
      </c>
      <c r="J21" s="16">
        <f t="shared" si="3"/>
        <v>19</v>
      </c>
    </row>
    <row r="22" spans="2:10">
      <c r="B22" s="16">
        <v>2</v>
      </c>
      <c r="C22" s="29"/>
      <c r="D22" s="16" t="b">
        <v>1</v>
      </c>
      <c r="E22" s="26" t="s">
        <v>2820</v>
      </c>
      <c r="F22" s="30" t="s">
        <v>2821</v>
      </c>
      <c r="H22" s="28">
        <v>45679</v>
      </c>
      <c r="I22" s="16" t="str">
        <f t="shared" ca="1" si="2"/>
        <v>●</v>
      </c>
      <c r="J22" s="16">
        <f t="shared" si="3"/>
        <v>20</v>
      </c>
    </row>
    <row r="23" spans="2:10">
      <c r="B23" s="16">
        <v>2</v>
      </c>
      <c r="C23" s="29"/>
      <c r="D23" s="16" t="b">
        <v>1</v>
      </c>
      <c r="E23" s="26" t="s">
        <v>2822</v>
      </c>
      <c r="F23" s="30" t="s">
        <v>2823</v>
      </c>
      <c r="H23" s="28">
        <v>45679</v>
      </c>
      <c r="I23" s="16" t="str">
        <f t="shared" ca="1" si="2"/>
        <v>●</v>
      </c>
      <c r="J23" s="16">
        <f t="shared" si="3"/>
        <v>21</v>
      </c>
    </row>
    <row r="24" spans="2:10">
      <c r="B24" s="16">
        <v>2</v>
      </c>
      <c r="C24" s="29"/>
      <c r="D24" s="16" t="b">
        <v>1</v>
      </c>
      <c r="E24" s="26" t="s">
        <v>2824</v>
      </c>
      <c r="F24" s="30" t="s">
        <v>2825</v>
      </c>
      <c r="H24" s="28">
        <v>45679</v>
      </c>
      <c r="I24" s="16" t="str">
        <f t="shared" ca="1" si="2"/>
        <v>●</v>
      </c>
      <c r="J24" s="16">
        <f t="shared" si="3"/>
        <v>22</v>
      </c>
    </row>
    <row r="25" spans="2:10">
      <c r="B25" s="16">
        <v>1</v>
      </c>
      <c r="C25" s="29"/>
      <c r="D25" s="16" t="b">
        <v>1</v>
      </c>
      <c r="E25" s="26" t="s">
        <v>2826</v>
      </c>
      <c r="F25" s="30" t="s">
        <v>2827</v>
      </c>
      <c r="H25" s="28">
        <v>45677</v>
      </c>
      <c r="I25" s="16" t="str">
        <f t="shared" ca="1" si="2"/>
        <v>●</v>
      </c>
      <c r="J25" s="16">
        <f t="shared" si="3"/>
        <v>23</v>
      </c>
    </row>
    <row r="26" spans="2:10">
      <c r="B26" s="16">
        <v>1</v>
      </c>
      <c r="C26" s="29"/>
      <c r="D26" s="16" t="b">
        <v>1</v>
      </c>
      <c r="E26" s="26" t="s">
        <v>2828</v>
      </c>
      <c r="F26" s="30" t="s">
        <v>2829</v>
      </c>
      <c r="H26" s="28">
        <v>45677</v>
      </c>
      <c r="I26" s="16" t="str">
        <f t="shared" ca="1" si="2"/>
        <v>●</v>
      </c>
      <c r="J26" s="16">
        <f t="shared" si="3"/>
        <v>24</v>
      </c>
    </row>
    <row r="27" spans="2:10">
      <c r="B27" s="16">
        <v>2</v>
      </c>
      <c r="C27" s="29"/>
      <c r="D27" s="16" t="b">
        <v>1</v>
      </c>
      <c r="E27" s="26" t="s">
        <v>2830</v>
      </c>
      <c r="F27" s="30" t="s">
        <v>2831</v>
      </c>
      <c r="H27" s="28">
        <v>45679</v>
      </c>
      <c r="I27" s="16" t="str">
        <f t="shared" ca="1" si="2"/>
        <v>●</v>
      </c>
      <c r="J27" s="16">
        <f t="shared" si="3"/>
        <v>25</v>
      </c>
    </row>
    <row r="28" spans="2:10">
      <c r="B28" s="16">
        <v>2</v>
      </c>
      <c r="C28" s="29"/>
      <c r="D28" s="16" t="b">
        <v>1</v>
      </c>
      <c r="E28" s="26" t="s">
        <v>2832</v>
      </c>
      <c r="F28" s="30" t="s">
        <v>2833</v>
      </c>
      <c r="H28" s="28">
        <v>45679</v>
      </c>
      <c r="I28" s="16" t="str">
        <f t="shared" ca="1" si="2"/>
        <v>●</v>
      </c>
      <c r="J28" s="16">
        <f t="shared" si="3"/>
        <v>26</v>
      </c>
    </row>
    <row r="29" spans="2:10">
      <c r="B29" s="16">
        <v>1</v>
      </c>
      <c r="C29" s="29"/>
      <c r="D29" s="16" t="b">
        <v>1</v>
      </c>
      <c r="E29" s="26" t="s">
        <v>2834</v>
      </c>
      <c r="F29" s="30" t="s">
        <v>2835</v>
      </c>
      <c r="H29" s="28">
        <v>45677</v>
      </c>
      <c r="I29" s="16" t="str">
        <f t="shared" ca="1" si="2"/>
        <v>●</v>
      </c>
      <c r="J29" s="16">
        <f t="shared" si="3"/>
        <v>27</v>
      </c>
    </row>
    <row r="30" spans="2:10">
      <c r="B30" s="16">
        <v>1</v>
      </c>
      <c r="C30" s="29"/>
      <c r="D30" s="16" t="b">
        <v>1</v>
      </c>
      <c r="E30" s="26" t="s">
        <v>2836</v>
      </c>
      <c r="F30" s="30" t="s">
        <v>2837</v>
      </c>
      <c r="H30" s="28">
        <v>45677</v>
      </c>
      <c r="I30" s="16" t="str">
        <f t="shared" ca="1" si="2"/>
        <v>●</v>
      </c>
      <c r="J30" s="16">
        <f t="shared" si="3"/>
        <v>28</v>
      </c>
    </row>
    <row r="31" spans="2:10">
      <c r="B31" s="16">
        <v>2</v>
      </c>
      <c r="C31" s="29"/>
      <c r="D31" s="16" t="b">
        <v>1</v>
      </c>
      <c r="E31" s="26" t="s">
        <v>2838</v>
      </c>
      <c r="F31" s="30" t="s">
        <v>2839</v>
      </c>
      <c r="H31" s="28">
        <v>45679</v>
      </c>
      <c r="I31" s="16" t="str">
        <f t="shared" ca="1" si="2"/>
        <v>●</v>
      </c>
      <c r="J31" s="16">
        <f t="shared" si="3"/>
        <v>29</v>
      </c>
    </row>
    <row r="32" spans="2:10">
      <c r="B32" s="16">
        <v>0</v>
      </c>
      <c r="C32" s="29"/>
      <c r="D32" s="16" t="b">
        <v>0</v>
      </c>
      <c r="E32" s="26" t="s">
        <v>2840</v>
      </c>
      <c r="F32" s="30" t="s">
        <v>2841</v>
      </c>
      <c r="H32" s="28">
        <v>45676</v>
      </c>
      <c r="I32" s="16" t="str">
        <f t="shared" ca="1" si="2"/>
        <v>●</v>
      </c>
      <c r="J32" s="16">
        <f t="shared" si="3"/>
        <v>30</v>
      </c>
    </row>
    <row r="33" spans="2:10">
      <c r="B33" s="16">
        <v>0</v>
      </c>
      <c r="C33" s="29"/>
      <c r="D33" s="16" t="b">
        <v>0</v>
      </c>
      <c r="E33" s="26" t="s">
        <v>2842</v>
      </c>
      <c r="F33" s="30" t="s">
        <v>2843</v>
      </c>
      <c r="H33" s="28">
        <v>45676</v>
      </c>
      <c r="I33" s="16" t="str">
        <f t="shared" ca="1" si="2"/>
        <v>●</v>
      </c>
      <c r="J33" s="16">
        <f t="shared" si="3"/>
        <v>31</v>
      </c>
    </row>
    <row r="34" spans="2:10">
      <c r="B34" s="16">
        <v>2</v>
      </c>
      <c r="C34" s="29"/>
      <c r="D34" s="16" t="b">
        <v>1</v>
      </c>
      <c r="E34" s="26" t="s">
        <v>2844</v>
      </c>
      <c r="F34" s="30" t="s">
        <v>2845</v>
      </c>
      <c r="H34" s="28">
        <v>45679</v>
      </c>
      <c r="I34" s="16" t="str">
        <f t="shared" ca="1" si="2"/>
        <v>●</v>
      </c>
      <c r="J34" s="16">
        <f t="shared" si="3"/>
        <v>32</v>
      </c>
    </row>
    <row r="35" spans="2:10">
      <c r="B35" s="16">
        <v>1</v>
      </c>
      <c r="C35" s="29"/>
      <c r="D35" s="16" t="b">
        <v>1</v>
      </c>
      <c r="E35" s="26" t="s">
        <v>2846</v>
      </c>
      <c r="F35" s="30" t="s">
        <v>2847</v>
      </c>
      <c r="H35" s="28">
        <v>45677</v>
      </c>
      <c r="I35" s="16" t="str">
        <f t="shared" ca="1" si="2"/>
        <v>●</v>
      </c>
      <c r="J35" s="16">
        <f t="shared" si="3"/>
        <v>33</v>
      </c>
    </row>
    <row r="36" spans="2:10">
      <c r="B36" s="16">
        <v>1</v>
      </c>
      <c r="C36" s="29"/>
      <c r="D36" s="16" t="b">
        <v>1</v>
      </c>
      <c r="E36" s="26" t="s">
        <v>2848</v>
      </c>
      <c r="F36" s="30" t="s">
        <v>2849</v>
      </c>
      <c r="H36" s="28">
        <v>45677</v>
      </c>
      <c r="I36" s="16" t="str">
        <f t="shared" ca="1" si="2"/>
        <v>●</v>
      </c>
      <c r="J36" s="16">
        <f t="shared" si="3"/>
        <v>34</v>
      </c>
    </row>
    <row r="37" spans="2:10">
      <c r="B37" s="16">
        <v>1</v>
      </c>
      <c r="C37" s="29"/>
      <c r="D37" s="16" t="b">
        <v>1</v>
      </c>
      <c r="E37" s="26" t="s">
        <v>2850</v>
      </c>
      <c r="F37" s="30" t="s">
        <v>2851</v>
      </c>
      <c r="H37" s="28">
        <v>45677</v>
      </c>
      <c r="I37" s="16" t="str">
        <f t="shared" ca="1" si="2"/>
        <v>●</v>
      </c>
      <c r="J37" s="16">
        <f t="shared" si="3"/>
        <v>35</v>
      </c>
    </row>
    <row r="38" spans="2:10">
      <c r="B38" s="16">
        <v>1</v>
      </c>
      <c r="C38" s="29"/>
      <c r="D38" s="16" t="b">
        <v>1</v>
      </c>
      <c r="E38" s="26" t="s">
        <v>2852</v>
      </c>
      <c r="F38" s="30" t="s">
        <v>2853</v>
      </c>
      <c r="H38" s="28">
        <v>45677</v>
      </c>
      <c r="I38" s="16" t="str">
        <f t="shared" ca="1" si="2"/>
        <v>●</v>
      </c>
      <c r="J38" s="16">
        <f t="shared" si="3"/>
        <v>36</v>
      </c>
    </row>
    <row r="39" spans="2:10">
      <c r="B39" s="16">
        <v>0</v>
      </c>
      <c r="C39" s="29"/>
      <c r="D39" s="16" t="b">
        <v>0</v>
      </c>
      <c r="E39" s="26" t="s">
        <v>2854</v>
      </c>
      <c r="F39" s="30" t="s">
        <v>2855</v>
      </c>
      <c r="H39" s="28">
        <v>45676</v>
      </c>
      <c r="I39" s="16" t="str">
        <f t="shared" ca="1" si="2"/>
        <v>●</v>
      </c>
      <c r="J39" s="16">
        <f t="shared" si="3"/>
        <v>37</v>
      </c>
    </row>
    <row r="40" spans="2:10">
      <c r="B40" s="16">
        <v>1</v>
      </c>
      <c r="C40" s="29"/>
      <c r="D40" s="16" t="b">
        <v>1</v>
      </c>
      <c r="E40" s="26" t="s">
        <v>2856</v>
      </c>
      <c r="F40" s="30" t="s">
        <v>2857</v>
      </c>
      <c r="H40" s="28">
        <v>45677</v>
      </c>
      <c r="I40" s="16" t="str">
        <f t="shared" ca="1" si="2"/>
        <v>●</v>
      </c>
      <c r="J40" s="16">
        <f t="shared" si="3"/>
        <v>38</v>
      </c>
    </row>
    <row r="41" spans="2:10">
      <c r="B41" s="16">
        <v>1</v>
      </c>
      <c r="C41" s="29"/>
      <c r="D41" s="16" t="b">
        <v>1</v>
      </c>
      <c r="E41" s="26" t="s">
        <v>2858</v>
      </c>
      <c r="F41" s="30" t="s">
        <v>2859</v>
      </c>
      <c r="H41" s="28">
        <v>45677</v>
      </c>
      <c r="I41" s="16" t="str">
        <f t="shared" ca="1" si="2"/>
        <v>●</v>
      </c>
      <c r="J41" s="16">
        <f t="shared" si="3"/>
        <v>39</v>
      </c>
    </row>
    <row r="42" spans="2:10">
      <c r="B42" s="16">
        <v>0</v>
      </c>
      <c r="C42" s="29"/>
      <c r="D42" s="16" t="b">
        <v>0</v>
      </c>
      <c r="E42" s="26" t="s">
        <v>2860</v>
      </c>
      <c r="F42" s="30" t="s">
        <v>2861</v>
      </c>
      <c r="H42" s="28">
        <v>45676</v>
      </c>
      <c r="I42" s="16" t="str">
        <f t="shared" ca="1" si="2"/>
        <v>●</v>
      </c>
      <c r="J42" s="16">
        <f t="shared" si="3"/>
        <v>40</v>
      </c>
    </row>
    <row r="43" spans="2:10">
      <c r="B43" s="16">
        <v>1</v>
      </c>
      <c r="C43" s="29"/>
      <c r="D43" s="16" t="b">
        <v>1</v>
      </c>
      <c r="E43" s="26" t="s">
        <v>2862</v>
      </c>
      <c r="F43" s="30" t="s">
        <v>2863</v>
      </c>
      <c r="H43" s="28">
        <v>45677</v>
      </c>
      <c r="I43" s="16" t="str">
        <f t="shared" ca="1" si="2"/>
        <v>●</v>
      </c>
      <c r="J43" s="16">
        <f t="shared" si="3"/>
        <v>41</v>
      </c>
    </row>
    <row r="44" spans="2:10">
      <c r="B44" s="16">
        <v>1</v>
      </c>
      <c r="C44" s="29"/>
      <c r="D44" s="16" t="b">
        <v>1</v>
      </c>
      <c r="E44" s="26" t="s">
        <v>2864</v>
      </c>
      <c r="F44" s="30" t="s">
        <v>2865</v>
      </c>
      <c r="H44" s="28">
        <v>45677</v>
      </c>
      <c r="I44" s="16" t="str">
        <f t="shared" ca="1" si="2"/>
        <v>●</v>
      </c>
      <c r="J44" s="16">
        <f t="shared" si="3"/>
        <v>42</v>
      </c>
    </row>
    <row r="45" spans="2:10">
      <c r="B45" s="16">
        <v>0</v>
      </c>
      <c r="C45" s="29"/>
      <c r="D45" s="16" t="b">
        <v>0</v>
      </c>
      <c r="E45" s="26" t="s">
        <v>2866</v>
      </c>
      <c r="F45" s="30" t="s">
        <v>2867</v>
      </c>
      <c r="H45" s="28">
        <v>45676</v>
      </c>
      <c r="I45" s="16" t="str">
        <f t="shared" ca="1" si="2"/>
        <v>●</v>
      </c>
      <c r="J45" s="16">
        <f t="shared" si="3"/>
        <v>43</v>
      </c>
    </row>
    <row r="46" spans="2:10">
      <c r="B46" s="16">
        <v>0</v>
      </c>
      <c r="C46" s="29"/>
      <c r="D46" s="16" t="b">
        <v>0</v>
      </c>
      <c r="E46" s="26" t="s">
        <v>2868</v>
      </c>
      <c r="F46" s="30" t="s">
        <v>2869</v>
      </c>
      <c r="H46" s="28">
        <v>45676</v>
      </c>
      <c r="I46" s="16" t="str">
        <f t="shared" ca="1" si="2"/>
        <v>●</v>
      </c>
      <c r="J46" s="16">
        <f t="shared" si="3"/>
        <v>44</v>
      </c>
    </row>
    <row r="47" spans="2:10">
      <c r="B47" s="16">
        <v>0</v>
      </c>
      <c r="C47" s="29"/>
      <c r="D47" s="16" t="b">
        <v>0</v>
      </c>
      <c r="E47" s="26" t="s">
        <v>2870</v>
      </c>
      <c r="F47" s="30" t="s">
        <v>2871</v>
      </c>
      <c r="H47" s="28">
        <v>45676</v>
      </c>
      <c r="I47" s="16" t="str">
        <f t="shared" ca="1" si="2"/>
        <v>●</v>
      </c>
      <c r="J47" s="16">
        <f t="shared" si="3"/>
        <v>45</v>
      </c>
    </row>
    <row r="48" spans="2:10">
      <c r="B48" s="16">
        <v>0</v>
      </c>
      <c r="D48" s="16" t="b">
        <v>0</v>
      </c>
      <c r="E48" s="26" t="s">
        <v>2872</v>
      </c>
      <c r="F48" s="30" t="s">
        <v>2873</v>
      </c>
      <c r="H48" s="28">
        <v>45673</v>
      </c>
      <c r="I48" s="16" t="str">
        <f t="shared" ref="I48:I64" ca="1" si="4">IF(H48-$G$1&lt;=0,"●","")</f>
        <v>●</v>
      </c>
      <c r="J48" s="16">
        <f t="shared" ref="J48:J64" si="5">ROW()-2</f>
        <v>46</v>
      </c>
    </row>
    <row r="49" spans="2:10">
      <c r="B49" s="16">
        <v>0</v>
      </c>
      <c r="D49" s="16" t="b">
        <v>0</v>
      </c>
      <c r="E49" s="41" t="s">
        <v>2874</v>
      </c>
      <c r="F49" s="30" t="s">
        <v>2875</v>
      </c>
      <c r="H49" s="28">
        <v>45673</v>
      </c>
      <c r="I49" s="16" t="str">
        <f t="shared" ca="1" si="4"/>
        <v>●</v>
      </c>
      <c r="J49" s="16">
        <f t="shared" si="5"/>
        <v>47</v>
      </c>
    </row>
    <row r="50" spans="2:10">
      <c r="B50" s="16">
        <v>0</v>
      </c>
      <c r="D50" s="16" t="b">
        <v>0</v>
      </c>
      <c r="E50" s="26" t="s">
        <v>2876</v>
      </c>
      <c r="F50" s="30" t="s">
        <v>2877</v>
      </c>
      <c r="H50" s="28">
        <v>45673</v>
      </c>
      <c r="I50" s="16" t="str">
        <f t="shared" ca="1" si="4"/>
        <v>●</v>
      </c>
      <c r="J50" s="16">
        <f t="shared" si="5"/>
        <v>48</v>
      </c>
    </row>
    <row r="51" spans="2:10">
      <c r="B51" s="16">
        <v>0</v>
      </c>
      <c r="D51" s="16" t="b">
        <v>0</v>
      </c>
      <c r="E51" s="26" t="s">
        <v>2878</v>
      </c>
      <c r="F51" s="30" t="s">
        <v>2879</v>
      </c>
      <c r="H51" s="28">
        <v>45673</v>
      </c>
      <c r="I51" s="16" t="str">
        <f t="shared" ca="1" si="4"/>
        <v>●</v>
      </c>
      <c r="J51" s="16">
        <f t="shared" si="5"/>
        <v>49</v>
      </c>
    </row>
    <row r="52" spans="2:10">
      <c r="B52" s="16">
        <v>0</v>
      </c>
      <c r="D52" s="16" t="b">
        <v>0</v>
      </c>
      <c r="E52" s="26" t="s">
        <v>2880</v>
      </c>
      <c r="F52" s="30" t="s">
        <v>2881</v>
      </c>
      <c r="H52" s="28">
        <v>45673</v>
      </c>
      <c r="I52" s="16" t="str">
        <f t="shared" ca="1" si="4"/>
        <v>●</v>
      </c>
      <c r="J52" s="16">
        <f t="shared" si="5"/>
        <v>50</v>
      </c>
    </row>
    <row r="53" spans="2:10">
      <c r="B53" s="16">
        <v>0</v>
      </c>
      <c r="D53" s="16" t="b">
        <v>0</v>
      </c>
      <c r="E53" s="26" t="s">
        <v>2882</v>
      </c>
      <c r="F53" s="30" t="s">
        <v>2883</v>
      </c>
      <c r="H53" s="28">
        <v>45673</v>
      </c>
      <c r="I53" s="16" t="str">
        <f t="shared" ca="1" si="4"/>
        <v>●</v>
      </c>
      <c r="J53" s="16">
        <f t="shared" si="5"/>
        <v>51</v>
      </c>
    </row>
    <row r="54" spans="2:10">
      <c r="B54" s="16">
        <v>0</v>
      </c>
      <c r="D54" s="16" t="b">
        <v>0</v>
      </c>
      <c r="E54" s="26" t="s">
        <v>2884</v>
      </c>
      <c r="F54" s="30" t="s">
        <v>2885</v>
      </c>
      <c r="H54" s="28">
        <v>45673</v>
      </c>
      <c r="I54" s="16" t="str">
        <f t="shared" ca="1" si="4"/>
        <v>●</v>
      </c>
      <c r="J54" s="16">
        <f t="shared" si="5"/>
        <v>52</v>
      </c>
    </row>
    <row r="55" spans="2:10">
      <c r="B55" s="16">
        <v>0</v>
      </c>
      <c r="D55" s="16" t="b">
        <v>0</v>
      </c>
      <c r="E55" s="26" t="s">
        <v>2886</v>
      </c>
      <c r="F55" s="30" t="s">
        <v>2887</v>
      </c>
      <c r="H55" s="28">
        <v>45673</v>
      </c>
      <c r="I55" s="16" t="str">
        <f t="shared" ca="1" si="4"/>
        <v>●</v>
      </c>
      <c r="J55" s="16">
        <f t="shared" si="5"/>
        <v>53</v>
      </c>
    </row>
    <row r="56" spans="2:10">
      <c r="B56" s="16">
        <v>0</v>
      </c>
      <c r="D56" s="16" t="b">
        <v>0</v>
      </c>
      <c r="E56" s="41" t="s">
        <v>2888</v>
      </c>
      <c r="F56" s="30" t="s">
        <v>2889</v>
      </c>
      <c r="H56" s="28">
        <v>45673</v>
      </c>
      <c r="I56" s="16" t="str">
        <f t="shared" ca="1" si="4"/>
        <v>●</v>
      </c>
      <c r="J56" s="16">
        <f t="shared" si="5"/>
        <v>54</v>
      </c>
    </row>
    <row r="57" spans="2:10">
      <c r="B57" s="16">
        <v>0</v>
      </c>
      <c r="D57" s="16" t="b">
        <v>0</v>
      </c>
      <c r="E57" s="26" t="s">
        <v>2890</v>
      </c>
      <c r="F57" s="30" t="s">
        <v>2891</v>
      </c>
      <c r="H57" s="28">
        <v>45673</v>
      </c>
      <c r="I57" s="16" t="str">
        <f t="shared" ca="1" si="4"/>
        <v>●</v>
      </c>
      <c r="J57" s="16">
        <f t="shared" si="5"/>
        <v>55</v>
      </c>
    </row>
    <row r="58" spans="2:10">
      <c r="B58" s="16">
        <v>0</v>
      </c>
      <c r="D58" s="16" t="b">
        <v>0</v>
      </c>
      <c r="E58" s="26" t="s">
        <v>2892</v>
      </c>
      <c r="F58" s="30" t="s">
        <v>2893</v>
      </c>
      <c r="H58" s="28">
        <v>45673</v>
      </c>
      <c r="I58" s="16" t="str">
        <f t="shared" ca="1" si="4"/>
        <v>●</v>
      </c>
      <c r="J58" s="16">
        <f t="shared" si="5"/>
        <v>56</v>
      </c>
    </row>
    <row r="59" spans="2:10">
      <c r="B59" s="16">
        <v>0</v>
      </c>
      <c r="D59" s="16" t="b">
        <v>0</v>
      </c>
      <c r="E59" s="26" t="s">
        <v>2894</v>
      </c>
      <c r="F59" s="30" t="s">
        <v>2895</v>
      </c>
      <c r="H59" s="28">
        <v>45673</v>
      </c>
      <c r="I59" s="16" t="str">
        <f t="shared" ca="1" si="4"/>
        <v>●</v>
      </c>
      <c r="J59" s="16">
        <f t="shared" si="5"/>
        <v>57</v>
      </c>
    </row>
    <row r="60" spans="2:10">
      <c r="B60" s="16">
        <v>0</v>
      </c>
      <c r="D60" s="16" t="b">
        <v>0</v>
      </c>
      <c r="E60" s="26" t="s">
        <v>2896</v>
      </c>
      <c r="F60" s="30" t="s">
        <v>2897</v>
      </c>
      <c r="H60" s="28">
        <v>45673</v>
      </c>
      <c r="I60" s="16" t="str">
        <f t="shared" ca="1" si="4"/>
        <v>●</v>
      </c>
      <c r="J60" s="16">
        <f t="shared" si="5"/>
        <v>58</v>
      </c>
    </row>
    <row r="61" spans="2:10">
      <c r="B61" s="16">
        <v>0</v>
      </c>
      <c r="D61" s="16" t="b">
        <v>0</v>
      </c>
      <c r="E61" s="26" t="s">
        <v>2898</v>
      </c>
      <c r="F61" s="30" t="s">
        <v>2899</v>
      </c>
      <c r="H61" s="28">
        <v>45673</v>
      </c>
      <c r="I61" s="16" t="str">
        <f t="shared" ca="1" si="4"/>
        <v>●</v>
      </c>
      <c r="J61" s="16">
        <f t="shared" si="5"/>
        <v>59</v>
      </c>
    </row>
    <row r="62" spans="2:10">
      <c r="B62" s="16">
        <v>0</v>
      </c>
      <c r="D62" s="16" t="b">
        <v>0</v>
      </c>
      <c r="E62" s="26" t="s">
        <v>2900</v>
      </c>
      <c r="F62" s="30" t="s">
        <v>2901</v>
      </c>
      <c r="H62" s="28">
        <v>45673</v>
      </c>
      <c r="I62" s="16" t="str">
        <f t="shared" ca="1" si="4"/>
        <v>●</v>
      </c>
      <c r="J62" s="16">
        <f t="shared" si="5"/>
        <v>60</v>
      </c>
    </row>
    <row r="63" spans="2:10">
      <c r="B63" s="16">
        <v>0</v>
      </c>
      <c r="D63" s="16" t="b">
        <v>0</v>
      </c>
      <c r="E63" s="26" t="s">
        <v>2902</v>
      </c>
      <c r="F63" s="30" t="s">
        <v>2903</v>
      </c>
      <c r="H63" s="28">
        <v>45673</v>
      </c>
      <c r="I63" s="16" t="str">
        <f t="shared" ca="1" si="4"/>
        <v>●</v>
      </c>
      <c r="J63" s="16">
        <f t="shared" si="5"/>
        <v>61</v>
      </c>
    </row>
    <row r="64" spans="2:10">
      <c r="B64" s="16">
        <v>0</v>
      </c>
      <c r="D64" s="16" t="b">
        <v>0</v>
      </c>
      <c r="E64" s="26" t="s">
        <v>2904</v>
      </c>
      <c r="F64" s="30" t="s">
        <v>2905</v>
      </c>
      <c r="H64" s="28">
        <v>45673</v>
      </c>
      <c r="I64" s="16" t="str">
        <f t="shared" ca="1" si="4"/>
        <v>●</v>
      </c>
      <c r="J64" s="16">
        <f t="shared" si="5"/>
        <v>62</v>
      </c>
    </row>
  </sheetData>
  <phoneticPr fontId="1"/>
  <conditionalFormatting sqref="E3:E64">
    <cfRule type="expression" dxfId="29" priority="2">
      <formula>OR($E$1=1,AND(MOD(ROW(),2)=1,OR($C3="]",$C3="ま")))</formula>
    </cfRule>
    <cfRule type="expression" dxfId="28" priority="3" stopIfTrue="1">
      <formula>AND(MOD(ROW(),2)=0,OR($C3="]",$C3="ま"))</formula>
    </cfRule>
  </conditionalFormatting>
  <conditionalFormatting sqref="B3:D64 F3:G64">
    <cfRule type="expression" dxfId="27" priority="4" stopIfTrue="1">
      <formula>MOD(ROW(),2)=1</formula>
    </cfRule>
    <cfRule type="expression" dxfId="26" priority="5" stopIfTrue="1">
      <formula>MOD(ROW(),2)=0</formula>
    </cfRule>
  </conditionalFormatting>
  <conditionalFormatting sqref="B3:B64">
    <cfRule type="colorScale" priority="1">
      <colorScale>
        <cfvo type="min"/>
        <cfvo type="max"/>
        <color rgb="FF972B42"/>
        <color rgb="FF232B89"/>
      </colorScale>
    </cfRule>
  </conditionalFormatting>
  <dataValidations count="2">
    <dataValidation type="list" allowBlank="1" showInputMessage="1" showErrorMessage="1" sqref="D3:D64" xr:uid="{9F326735-243B-F240-B5F6-19DD4D1D6C4E}">
      <formula1>"True,False"</formula1>
    </dataValidation>
    <dataValidation type="list" allowBlank="1" showInputMessage="1" showErrorMessage="1" sqref="C3:C64" xr:uid="{C1BC41C5-EB7A-9241-A7F6-7C4A0C42E386}">
      <formula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ボタン1_Clic">
                <anchor moveWithCells="1" sizeWithCells="1">
                  <from>
                    <xdr:col>1</xdr:col>
                    <xdr:colOff>25400</xdr:colOff>
                    <xdr:row>0</xdr:row>
                    <xdr:rowOff>50800</xdr:rowOff>
                  </from>
                  <to>
                    <xdr:col>1</xdr:col>
                    <xdr:colOff>609600</xdr:colOff>
                    <xdr:row>0</xdr:row>
                    <xdr:rowOff>419100</xdr:rowOff>
                  </to>
                </anchor>
              </controlPr>
            </control>
          </mc:Choice>
        </mc:AlternateContent>
        <mc:AlternateContent xmlns:mc="http://schemas.openxmlformats.org/markup-compatibility/2006">
          <mc:Choice Requires="x14">
            <control shapeId="7170" r:id="rId4" name="Option Button 2">
              <controlPr defaultSize="0" autoFill="0" autoLine="0" autoPict="0">
                <anchor moveWithCells="1">
                  <from>
                    <xdr:col>2</xdr:col>
                    <xdr:colOff>12700</xdr:colOff>
                    <xdr:row>0</xdr:row>
                    <xdr:rowOff>241300</xdr:rowOff>
                  </from>
                  <to>
                    <xdr:col>3</xdr:col>
                    <xdr:colOff>12700</xdr:colOff>
                    <xdr:row>0</xdr:row>
                    <xdr:rowOff>406400</xdr:rowOff>
                  </to>
                </anchor>
              </controlPr>
            </control>
          </mc:Choice>
        </mc:AlternateContent>
        <mc:AlternateContent xmlns:mc="http://schemas.openxmlformats.org/markup-compatibility/2006">
          <mc:Choice Requires="x14">
            <control shapeId="7171" r:id="rId5" name="Option Button 3">
              <controlPr defaultSize="0" autoFill="0" autoLine="0" autoPict="0">
                <anchor moveWithCells="1">
                  <from>
                    <xdr:col>2</xdr:col>
                    <xdr:colOff>12700</xdr:colOff>
                    <xdr:row>0</xdr:row>
                    <xdr:rowOff>76200</xdr:rowOff>
                  </from>
                  <to>
                    <xdr:col>3</xdr:col>
                    <xdr:colOff>12700</xdr:colOff>
                    <xdr:row>0</xdr:row>
                    <xdr:rowOff>241300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E726C-3C4F-EB4D-9769-0DE9356D3FFC}">
  <sheetPr codeName="Sheet1">
    <tabColor theme="1"/>
  </sheetPr>
  <dimension ref="B1:J15"/>
  <sheetViews>
    <sheetView topLeftCell="E1" zoomScale="133" zoomScaleNormal="133" workbookViewId="0">
      <pane ySplit="2" topLeftCell="A3" activePane="bottomLeft" state="frozen"/>
      <selection activeCell="E1" sqref="E1"/>
      <selection pane="bottomLeft" activeCell="E1" sqref="E1"/>
    </sheetView>
  </sheetViews>
  <sheetFormatPr baseColWidth="10" defaultColWidth="10.6640625" defaultRowHeight="13"/>
  <cols>
    <col min="1" max="1" width="3.83203125" style="1" customWidth="1"/>
    <col min="2" max="2" width="8.6640625" style="1" customWidth="1"/>
    <col min="3" max="3" width="3.6640625" style="1" customWidth="1"/>
    <col min="4" max="4" width="6.6640625" style="1" customWidth="1"/>
    <col min="5" max="5" width="11" style="1" bestFit="1" customWidth="1"/>
    <col min="6" max="6" width="15" style="1" bestFit="1" customWidth="1"/>
    <col min="7" max="16384" width="10.6640625" style="1"/>
  </cols>
  <sheetData>
    <row r="1" spans="2:10" ht="40" customHeight="1">
      <c r="C1" s="2"/>
      <c r="D1" s="3" t="s">
        <v>0</v>
      </c>
      <c r="E1" s="7">
        <v>2</v>
      </c>
      <c r="F1" s="7" t="str">
        <f ca="1">"FALSE " &amp; COUNTIF(テーブル3[True or False],FALSE)&amp;"/TEST " &amp; COUNTIFS(テーブル3[deadline],"●")-(COUNTIFS(テーブル3[deadline],"●", テーブル3[列1],"]")+COUNTIFS(テーブル3[deadline],"●", テーブル3[列1],"ま"))</f>
        <v>FALSE 9/TEST 9</v>
      </c>
      <c r="G1" s="8">
        <f ca="1">TODAY()</f>
        <v>45745</v>
      </c>
      <c r="I1" s="1" t="str">
        <f ca="1">"TEST cnt " &amp; COUNTIFS(テーブル3[deadline],"●")-(COUNTIFS(テーブル3[deadline],"●", テーブル3[列1],"]")+COUNTIFS(テーブル3[deadline],"●", テーブル3[列1],"ま"))</f>
        <v>TEST cnt 9</v>
      </c>
    </row>
    <row r="2" spans="2:10">
      <c r="B2" s="4" t="s">
        <v>1</v>
      </c>
      <c r="C2" s="4" t="s">
        <v>2</v>
      </c>
      <c r="D2" s="4" t="s">
        <v>2157</v>
      </c>
      <c r="E2" s="4" t="s">
        <v>4</v>
      </c>
      <c r="F2" s="4" t="s">
        <v>5</v>
      </c>
      <c r="G2" s="4" t="s">
        <v>6</v>
      </c>
      <c r="H2" s="9" t="s">
        <v>7</v>
      </c>
      <c r="I2" s="10" t="s">
        <v>8</v>
      </c>
      <c r="J2" s="10" t="s">
        <v>9</v>
      </c>
    </row>
    <row r="3" spans="2:10">
      <c r="B3" s="5">
        <v>1</v>
      </c>
      <c r="C3" s="12" t="s">
        <v>116</v>
      </c>
      <c r="D3" s="5" t="b">
        <v>1</v>
      </c>
      <c r="E3" s="14" t="s">
        <v>2906</v>
      </c>
      <c r="F3" s="12" t="s">
        <v>2907</v>
      </c>
      <c r="G3" s="5"/>
      <c r="H3" s="11">
        <v>45674</v>
      </c>
      <c r="I3" s="1" t="str">
        <f t="shared" ref="I3:I14" ca="1" si="0">IF(H3-$G$1&lt;=0,"●","")</f>
        <v>●</v>
      </c>
      <c r="J3" s="1">
        <f>ROW()-2</f>
        <v>1</v>
      </c>
    </row>
    <row r="4" spans="2:10">
      <c r="B4" s="5">
        <v>1</v>
      </c>
      <c r="C4" s="12" t="s">
        <v>116</v>
      </c>
      <c r="D4" s="5" t="b">
        <v>1</v>
      </c>
      <c r="E4" s="14" t="s">
        <v>2908</v>
      </c>
      <c r="F4" s="12" t="s">
        <v>2909</v>
      </c>
      <c r="G4" s="5"/>
      <c r="H4" s="11">
        <v>45674</v>
      </c>
      <c r="I4" s="1" t="str">
        <f t="shared" ca="1" si="0"/>
        <v>●</v>
      </c>
      <c r="J4" s="1">
        <f t="shared" ref="J4:J15" si="1">ROW()-2</f>
        <v>2</v>
      </c>
    </row>
    <row r="5" spans="2:10">
      <c r="B5" s="5">
        <v>2</v>
      </c>
      <c r="C5" s="12" t="s">
        <v>116</v>
      </c>
      <c r="D5" s="5" t="b">
        <v>1</v>
      </c>
      <c r="E5" s="14" t="s">
        <v>2910</v>
      </c>
      <c r="F5" s="12" t="s">
        <v>2911</v>
      </c>
      <c r="G5" s="5"/>
      <c r="H5" s="11">
        <v>45676</v>
      </c>
      <c r="I5" s="1" t="str">
        <f t="shared" ca="1" si="0"/>
        <v>●</v>
      </c>
      <c r="J5" s="1">
        <f t="shared" si="1"/>
        <v>3</v>
      </c>
    </row>
    <row r="6" spans="2:10">
      <c r="B6" s="5">
        <v>0</v>
      </c>
      <c r="C6" s="12"/>
      <c r="D6" s="5" t="b">
        <v>0</v>
      </c>
      <c r="E6" s="6"/>
      <c r="F6" s="5"/>
      <c r="G6" s="5"/>
      <c r="H6" s="11"/>
      <c r="I6" s="1" t="str">
        <f t="shared" ca="1" si="0"/>
        <v>●</v>
      </c>
      <c r="J6" s="1">
        <f t="shared" si="1"/>
        <v>4</v>
      </c>
    </row>
    <row r="7" spans="2:10">
      <c r="B7" s="5">
        <v>0</v>
      </c>
      <c r="C7" s="12"/>
      <c r="D7" s="5" t="b">
        <v>0</v>
      </c>
      <c r="E7" s="6"/>
      <c r="F7" s="5"/>
      <c r="G7" s="5"/>
      <c r="H7" s="11"/>
      <c r="I7" s="1" t="str">
        <f t="shared" ca="1" si="0"/>
        <v>●</v>
      </c>
      <c r="J7" s="1">
        <f t="shared" si="1"/>
        <v>5</v>
      </c>
    </row>
    <row r="8" spans="2:10">
      <c r="B8" s="5">
        <v>0</v>
      </c>
      <c r="C8" s="12"/>
      <c r="D8" s="5" t="b">
        <v>0</v>
      </c>
      <c r="E8" s="6"/>
      <c r="F8" s="5"/>
      <c r="G8" s="5"/>
      <c r="H8" s="11"/>
      <c r="I8" s="1" t="str">
        <f t="shared" ca="1" si="0"/>
        <v>●</v>
      </c>
      <c r="J8" s="1">
        <f t="shared" si="1"/>
        <v>6</v>
      </c>
    </row>
    <row r="9" spans="2:10">
      <c r="B9" s="5">
        <v>0</v>
      </c>
      <c r="C9" s="12"/>
      <c r="D9" s="5" t="b">
        <v>0</v>
      </c>
      <c r="E9" s="6"/>
      <c r="F9" s="5"/>
      <c r="G9" s="5"/>
      <c r="H9" s="11"/>
      <c r="I9" s="1" t="str">
        <f t="shared" ca="1" si="0"/>
        <v>●</v>
      </c>
      <c r="J9" s="1">
        <f t="shared" si="1"/>
        <v>7</v>
      </c>
    </row>
    <row r="10" spans="2:10">
      <c r="B10" s="5">
        <v>0</v>
      </c>
      <c r="C10" s="12" t="s">
        <v>116</v>
      </c>
      <c r="D10" s="5" t="b">
        <v>1</v>
      </c>
      <c r="E10" s="6"/>
      <c r="F10" s="5"/>
      <c r="G10" s="5"/>
      <c r="H10" s="11"/>
      <c r="I10" s="1" t="str">
        <f t="shared" ca="1" si="0"/>
        <v>●</v>
      </c>
      <c r="J10" s="1">
        <f t="shared" si="1"/>
        <v>8</v>
      </c>
    </row>
    <row r="11" spans="2:10">
      <c r="B11" s="5">
        <v>0</v>
      </c>
      <c r="C11" s="12"/>
      <c r="D11" s="5" t="b">
        <v>0</v>
      </c>
      <c r="E11" s="6"/>
      <c r="F11" s="5"/>
      <c r="G11" s="5"/>
      <c r="H11" s="11"/>
      <c r="I11" s="1" t="str">
        <f t="shared" ca="1" si="0"/>
        <v>●</v>
      </c>
      <c r="J11" s="1">
        <f t="shared" si="1"/>
        <v>9</v>
      </c>
    </row>
    <row r="12" spans="2:10">
      <c r="B12" s="5">
        <v>0</v>
      </c>
      <c r="C12" s="5"/>
      <c r="D12" s="5" t="b">
        <v>0</v>
      </c>
      <c r="E12" s="6"/>
      <c r="F12" s="5"/>
      <c r="G12" s="5"/>
      <c r="H12" s="11"/>
      <c r="I12" s="1" t="str">
        <f t="shared" ca="1" si="0"/>
        <v>●</v>
      </c>
      <c r="J12" s="1">
        <f t="shared" si="1"/>
        <v>10</v>
      </c>
    </row>
    <row r="13" spans="2:10">
      <c r="B13" s="5">
        <v>0</v>
      </c>
      <c r="C13" s="13"/>
      <c r="D13" s="5" t="b">
        <v>0</v>
      </c>
      <c r="E13" s="6"/>
      <c r="F13" s="5"/>
      <c r="G13" s="5"/>
      <c r="H13" s="11"/>
      <c r="I13" s="1" t="str">
        <f t="shared" ca="1" si="0"/>
        <v>●</v>
      </c>
      <c r="J13" s="1">
        <f t="shared" si="1"/>
        <v>11</v>
      </c>
    </row>
    <row r="14" spans="2:10">
      <c r="B14" s="5">
        <v>0</v>
      </c>
      <c r="C14" s="13"/>
      <c r="D14" s="5" t="b">
        <v>0</v>
      </c>
      <c r="E14" s="6"/>
      <c r="F14" s="5"/>
      <c r="G14" s="5"/>
      <c r="H14" s="11"/>
      <c r="I14" s="1" t="str">
        <f t="shared" ca="1" si="0"/>
        <v>●</v>
      </c>
      <c r="J14" s="1">
        <f t="shared" si="1"/>
        <v>12</v>
      </c>
    </row>
    <row r="15" spans="2:10">
      <c r="B15" s="5">
        <v>0</v>
      </c>
      <c r="C15" s="13"/>
      <c r="D15" s="5" t="b">
        <v>0</v>
      </c>
      <c r="E15" s="6"/>
      <c r="F15" s="5"/>
      <c r="G15" s="5"/>
      <c r="H15" s="11"/>
      <c r="I15" s="1" t="str">
        <f ca="1">IF(H15-$G$1&lt;=0,"●","")</f>
        <v>●</v>
      </c>
      <c r="J15" s="1">
        <f t="shared" si="1"/>
        <v>13</v>
      </c>
    </row>
  </sheetData>
  <phoneticPr fontId="1"/>
  <conditionalFormatting sqref="E3:E15">
    <cfRule type="expression" dxfId="14" priority="2">
      <formula>OR($E$1=1,AND(MOD(ROW(),2)=1,OR($C3="]",$C3="ま")))</formula>
    </cfRule>
    <cfRule type="expression" dxfId="13" priority="3" stopIfTrue="1">
      <formula>AND(MOD(ROW(),2)=0,OR($C3="]",$C3="ま"))</formula>
    </cfRule>
  </conditionalFormatting>
  <conditionalFormatting sqref="B3:D15 F3:G15">
    <cfRule type="expression" dxfId="12" priority="4" stopIfTrue="1">
      <formula>MOD(ROW(),2)=1</formula>
    </cfRule>
    <cfRule type="expression" dxfId="11" priority="5" stopIfTrue="1">
      <formula>MOD(ROW(),2)=0</formula>
    </cfRule>
  </conditionalFormatting>
  <conditionalFormatting sqref="B3:B15">
    <cfRule type="colorScale" priority="1">
      <colorScale>
        <cfvo type="min"/>
        <cfvo type="max"/>
        <color rgb="FF972B42"/>
        <color rgb="FF232B89"/>
      </colorScale>
    </cfRule>
  </conditionalFormatting>
  <dataValidations count="2">
    <dataValidation type="list" allowBlank="1" showInputMessage="1" showErrorMessage="1" sqref="D3:D15" xr:uid="{7B8B3321-9C37-F544-9816-556EBCA82E53}">
      <formula1>"True,False"</formula1>
    </dataValidation>
    <dataValidation type="list" allowBlank="1" showInputMessage="1" showErrorMessage="1" sqref="C3:C15" xr:uid="{B369BF7E-8953-2F45-8956-60EB4ECCFA03}">
      <formula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ボタン1_Clic">
                <anchor moveWithCells="1" sizeWithCells="1">
                  <from>
                    <xdr:col>1</xdr:col>
                    <xdr:colOff>25400</xdr:colOff>
                    <xdr:row>0</xdr:row>
                    <xdr:rowOff>50800</xdr:rowOff>
                  </from>
                  <to>
                    <xdr:col>1</xdr:col>
                    <xdr:colOff>609600</xdr:colOff>
                    <xdr:row>0</xdr:row>
                    <xdr:rowOff>419100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2</xdr:col>
                    <xdr:colOff>12700</xdr:colOff>
                    <xdr:row>0</xdr:row>
                    <xdr:rowOff>241300</xdr:rowOff>
                  </from>
                  <to>
                    <xdr:col>3</xdr:col>
                    <xdr:colOff>12700</xdr:colOff>
                    <xdr:row>0</xdr:row>
                    <xdr:rowOff>406400</xdr:rowOff>
                  </to>
                </anchor>
              </controlPr>
            </control>
          </mc:Choice>
        </mc:AlternateContent>
        <mc:AlternateContent xmlns:mc="http://schemas.openxmlformats.org/markup-compatibility/2006">
          <mc:Choice Requires="x14">
            <control shapeId="1031" r:id="rId5" name="Option Button 7">
              <controlPr defaultSize="0" autoFill="0" autoLine="0" autoPict="0">
                <anchor moveWithCells="1">
                  <from>
                    <xdr:col>2</xdr:col>
                    <xdr:colOff>12700</xdr:colOff>
                    <xdr:row>0</xdr:row>
                    <xdr:rowOff>76200</xdr:rowOff>
                  </from>
                  <to>
                    <xdr:col>3</xdr:col>
                    <xdr:colOff>12700</xdr:colOff>
                    <xdr:row>0</xdr:row>
                    <xdr:rowOff>241300</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漢検</vt:lpstr>
      <vt:lpstr>TOEIC</vt:lpstr>
      <vt:lpstr>TOEIC_R</vt:lpstr>
      <vt:lpstr>原紙</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瀬川眞輝</dc:creator>
  <cp:keywords/>
  <dc:description/>
  <cp:lastModifiedBy>眞輝 瀬川</cp:lastModifiedBy>
  <cp:revision/>
  <dcterms:created xsi:type="dcterms:W3CDTF">2025-01-13T07:03:21Z</dcterms:created>
  <dcterms:modified xsi:type="dcterms:W3CDTF">2025-03-29T13:09:37Z</dcterms:modified>
  <cp:category/>
  <cp:contentStatus/>
</cp:coreProperties>
</file>